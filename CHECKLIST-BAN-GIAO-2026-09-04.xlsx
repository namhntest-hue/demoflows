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Trang &amp; màn hình" sheetId="2" state="visible" r:id="rId2"/>
    <sheet name="Thành phần UI" sheetId="3" state="visible" r:id="rId3"/>
    <sheet name="Phiên bản" sheetId="4" state="visible" r:id="rId4"/>
    <sheet name="Tổng hợp" sheetId="5" state="visible" r:id="rId5"/>
  </sheets>
  <definedNames>
    <definedName name="_xlnm._FilterDatabase" localSheetId="1" hidden="1">'Trang &amp; màn hình'!$A$3:$J$35</definedName>
    <definedName name="_xlnm._FilterDatabase" localSheetId="2" hidden="1">'Thành phần UI'!$A$3:$I$71</definedName>
    <definedName name="_xlnm._FilterDatabase" localSheetId="3" hidden="1">'Phiên bản'!$A$3:$I$11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FF171717"/>
      <sz val="16"/>
    </font>
    <font>
      <name val="Arial"/>
      <color rgb="FF737373"/>
      <sz val="9"/>
    </font>
    <font>
      <name val="Arial"/>
      <b val="1"/>
      <color rgb="FF171717"/>
      <sz val="11"/>
    </font>
    <font>
      <name val="Arial"/>
      <color rgb="FF171717"/>
      <sz val="10"/>
    </font>
    <font>
      <name val="Arial"/>
      <b val="1"/>
      <color rgb="FFFFFFFF"/>
      <sz val="10"/>
    </font>
    <font>
      <name val="Arial"/>
      <b val="1"/>
      <color rgb="FF171717"/>
      <sz val="10"/>
    </font>
  </fonts>
  <fills count="5">
    <fill>
      <patternFill/>
    </fill>
    <fill>
      <patternFill patternType="gray125"/>
    </fill>
    <fill>
      <patternFill patternType="solid">
        <fgColor rgb="FF171717"/>
      </patternFill>
    </fill>
    <fill>
      <patternFill patternType="solid">
        <fgColor rgb="FFFFF9E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/>
    </xf>
    <xf numFmtId="0" fontId="4" fillId="0" borderId="1" pivotButton="0" quotePrefix="0" xfId="0"/>
    <xf numFmtId="0" fontId="4" fillId="3" borderId="1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9" fontId="6" fillId="4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FFEAF5EC"/>
        </patternFill>
      </fill>
    </dxf>
    <dxf>
      <fill>
        <patternFill patternType="solid">
          <fgColor rgb="FFFDECEE"/>
        </patternFill>
      </fill>
    </dxf>
    <dxf>
      <fill>
        <patternFill patternType="solid">
          <fgColor rgb="FFFAFA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20" customWidth="1" min="4" max="4"/>
    <col width="52" customWidth="1" min="5" max="5"/>
  </cols>
  <sheetData>
    <row r="1">
      <c r="B1" s="1" t="inlineStr">
        <is>
          <t>Checklist nghiệm thu demo — DAFC</t>
        </is>
      </c>
    </row>
    <row r="2">
      <c r="B2" s="2" t="inlineStr">
        <is>
          <t>Bản phát hành 04/09/2026 · demo e-commerce (mobile + desktop + trang chủ)</t>
        </is>
      </c>
    </row>
    <row r="3"/>
    <row r="4">
      <c r="B4" s="3" t="inlineStr">
        <is>
          <t>File này dùng để làm gì</t>
        </is>
      </c>
    </row>
    <row r="5">
      <c r="B5" s="4" t="inlineStr">
        <is>
          <t>Đối chiếu từng trang / thành phần của bản demo, đánh dấu cái nào đã đạt, cái nào cần chỉnh, và đếm số lần chỉnh sửa của từng hạng mục.</t>
        </is>
      </c>
    </row>
    <row r="6"/>
    <row r="7">
      <c r="B7" s="3" t="inlineStr">
        <is>
          <t>Ô nào anh/chị điền</t>
        </is>
      </c>
    </row>
    <row r="8">
      <c r="B8" s="4" t="inlineStr">
        <is>
          <t>Chỉ 3 cột cuối của mỗi bảng, đã tô NỀN VÀNG NHẠT:</t>
        </is>
      </c>
    </row>
    <row r="9">
      <c r="B9" s="4" t="inlineStr">
        <is>
          <t>•   Khách duyệt — bấm vào ô sẽ hiện danh sách chọn (☐ Chưa duyệt · ☑ Đạt · ✎ Cần chỉnh sửa · — Không áp dụng).</t>
        </is>
      </c>
    </row>
    <row r="10">
      <c r="B10" s="4" t="inlineStr">
        <is>
          <t>•   Số lần chỉnh sửa — tất cả đang là 0; mỗi lần yêu cầu chỉnh được xử lý xong thì cộng thêm 1.</t>
        </is>
      </c>
    </row>
    <row r="11">
      <c r="B11" s="4" t="inlineStr">
        <is>
          <t>•   Ghi chú / yêu cầu chỉnh sửa — mô tả cụ thể chỗ cần sửa.</t>
        </is>
      </c>
    </row>
    <row r="12">
      <c r="B12" s="4" t="inlineStr">
        <is>
          <t>Các cột còn lại là hiện trạng bản dựng, để nguyên giúp bên thiết kế đối chiếu.</t>
        </is>
      </c>
    </row>
    <row r="13"/>
    <row r="14">
      <c r="B14" s="3" t="inlineStr">
        <is>
          <t>Ví dụ một dòng đã điền</t>
        </is>
      </c>
    </row>
    <row r="15"/>
    <row r="16">
      <c r="B16" s="5" t="inlineStr">
        <is>
          <t>Trang / màn hình</t>
        </is>
      </c>
      <c r="C16" s="5" t="inlineStr">
        <is>
          <t>Khách duyệt</t>
        </is>
      </c>
      <c r="D16" s="5" t="inlineStr">
        <is>
          <t>Số lần chỉnh sửa</t>
        </is>
      </c>
      <c r="E16" s="5" t="inlineStr">
        <is>
          <t>Ghi chú / yêu cầu chỉnh sửa</t>
        </is>
      </c>
    </row>
    <row r="17">
      <c r="B17" s="6" t="inlineStr">
        <is>
          <t>Giỏ hàng</t>
        </is>
      </c>
      <c r="C17" s="7" t="inlineStr">
        <is>
          <t>✎ Cần chỉnh sửa</t>
        </is>
      </c>
      <c r="D17" s="7" t="n">
        <v>1</v>
      </c>
      <c r="E17" s="7" t="inlineStr">
        <is>
          <t>Đổi nhãn nút thanh toán thành “Đặt hàng”</t>
        </is>
      </c>
    </row>
    <row r="19">
      <c r="B19" s="3" t="inlineStr">
        <is>
          <t>Chú giải các ký hiệu trong bảng</t>
        </is>
      </c>
    </row>
    <row r="20">
      <c r="B20" s="8" t="inlineStr">
        <is>
          <t>✓ Có</t>
        </is>
      </c>
      <c r="C20" s="4" t="inlineStr">
        <is>
          <t>hạng mục đã dựng trong bản đó</t>
        </is>
      </c>
    </row>
    <row r="21">
      <c r="B21" s="8" t="inlineStr">
        <is>
          <t>✗ Chưa có</t>
        </is>
      </c>
      <c r="C21" s="4" t="inlineStr">
        <is>
          <t>chưa dựng trong bản đó</t>
        </is>
      </c>
    </row>
    <row r="22">
      <c r="B22" s="8" t="inlineStr">
        <is>
          <t>— Không áp dụng</t>
        </is>
      </c>
      <c r="C22" s="4" t="inlineStr">
        <is>
          <t>bản đó không có hạng mục này theo thiết kế, không phải thiếu sót</t>
        </is>
      </c>
    </row>
    <row r="24">
      <c r="B24" s="3" t="inlineStr">
        <is>
          <t>Cách đếm số lần chỉnh sửa</t>
        </is>
      </c>
    </row>
    <row r="25">
      <c r="B25" s="4" t="inlineStr">
        <is>
          <t>Bộ đếm bắt đầu lại từ 0 kể từ đợt nghiệm thu này (04/09/2026) — các vòng chỉnh trong giai đoạn dựng demo trước đó không tính vào đây.</t>
        </is>
      </c>
    </row>
    <row r="26">
      <c r="B26" s="4" t="inlineStr">
        <is>
          <t>Quy ước: một lần chỉnh = một yêu cầu của khách đã được xử lý xong và gửi lại bản cập nhật.</t>
        </is>
      </c>
    </row>
    <row r="28">
      <c r="B28" s="3" t="inlineStr">
        <is>
          <t>Các bảng trong file</t>
        </is>
      </c>
    </row>
    <row r="29">
      <c r="B29" s="8" t="inlineStr">
        <is>
          <t>Trang &amp; màn hình</t>
        </is>
      </c>
      <c r="C29" s="4" t="inlineStr">
        <is>
          <t>26 trang/màn của bản mobile, desktop và trang chủ</t>
        </is>
      </c>
    </row>
    <row r="30">
      <c r="B30" s="8" t="inlineStr">
        <is>
          <t>Thành phần UI</t>
        </is>
      </c>
      <c r="C30" s="4" t="inlineStr">
        <is>
          <t>61 thành phần dùng lại nhiều nơi (header, thẻ sản phẩm, bộ lọc…)</t>
        </is>
      </c>
    </row>
    <row r="31">
      <c r="B31" s="8" t="inlineStr">
        <is>
          <t>Phiên bản</t>
        </is>
      </c>
      <c r="C31" s="4" t="inlineStr">
        <is>
          <t>6 file bàn giao và trạng thái từng file</t>
        </is>
      </c>
    </row>
    <row r="32">
      <c r="B32" s="8" t="inlineStr">
        <is>
          <t>Tổng hợp</t>
        </is>
      </c>
      <c r="C32" s="4" t="inlineStr">
        <is>
          <t>đếm tự động theo trạng thái anh/chị chọn — không cần điền</t>
        </is>
      </c>
    </row>
    <row r="34">
      <c r="B34" s="3" t="inlineStr">
        <is>
          <t>Về trang sản phẩm (PDP)</t>
        </is>
      </c>
    </row>
    <row r="35">
      <c r="B35" s="4" t="inlineStr">
        <is>
          <t>Trong quá trình dựng demo có 6 biến thể PDP để so sánh bố cục. Nay chốt lấy BẢN 1 làm chuẩn, nên checklist chỉ có một dòng “Trang sản phẩm (PDP)”; 5 biến thể còn lại không đưa vào nghiệm thu.</t>
        </is>
      </c>
    </row>
    <row r="37">
      <c r="B37" s="3" t="inlineStr">
        <is>
          <t>Lưu ý về 3 bản thử skin</t>
        </is>
      </c>
    </row>
    <row r="38">
      <c r="B38" s="4" t="inlineStr">
        <is>
          <t>desktop-neutral · desktop-editorial · desktop-atelier là 3 phương án THỬ giao diện, dừng cập nhật từ 21/08/2026. Chúng thiếu 12 hạng mục so với bản chính và không mang bộ font Libre Bodoni + Inter đã chốt ngày 03/09.</t>
        </is>
      </c>
    </row>
    <row r="39">
      <c r="B39" s="4" t="inlineStr">
        <is>
          <t>Nếu anh/chị chỉ nghiệm thu bản chính, đánh dấu 3 bản này là “— Không áp dụng” ở bảng Phiên bản.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3" customWidth="1" min="4" max="4"/>
    <col width="13" customWidth="1" min="5" max="5"/>
    <col width="36" customWidth="1" min="6" max="6"/>
    <col width="13" customWidth="1" min="7" max="7"/>
    <col width="17" customWidth="1" min="8" max="8"/>
    <col width="11" customWidth="1" min="9" max="9"/>
    <col width="50" customWidth="1" min="10" max="10"/>
  </cols>
  <sheetData>
    <row r="1">
      <c r="A1" s="1" t="inlineStr">
        <is>
          <t>Bảng 1 — Trang &amp; màn hình</t>
        </is>
      </c>
    </row>
    <row r="2">
      <c r="A2" s="2" t="inlineStr">
        <is>
          <t>Cột tô vàng là phần anh/chị điền; bộ đếm chỉnh sửa bắt đầu từ 0. Trang chủ nằm ở file riêng home.html (một file chạy cả hai khổ màn hình); các trang còn lại ở index.html và desktop.html.</t>
        </is>
      </c>
    </row>
    <row r="3" ht="30" customHeight="1">
      <c r="A3" s="9" t="inlineStr">
        <is>
          <t>STT</t>
        </is>
      </c>
      <c r="B3" s="9" t="inlineStr">
        <is>
          <t>Trang / màn hình</t>
        </is>
      </c>
      <c r="C3" s="9" t="inlineStr">
        <is>
          <t>Mã kỹ thuật</t>
        </is>
      </c>
      <c r="D3" s="9" t="inlineStr">
        <is>
          <t>Bản mobile
(dưới 768px)</t>
        </is>
      </c>
      <c r="E3" s="9" t="inlineStr">
        <is>
          <t>Bản desktop
(từ 768px)</t>
        </is>
      </c>
      <c r="F3" s="9" t="inlineStr">
        <is>
          <t>Tình trạng dựng</t>
        </is>
      </c>
      <c r="G3" s="9" t="inlineStr">
        <is>
          <t>Cập nhật
gần nhất</t>
        </is>
      </c>
      <c r="H3" s="9" t="inlineStr">
        <is>
          <t>Khách duyệt</t>
        </is>
      </c>
      <c r="I3" s="9" t="inlineStr">
        <is>
          <t>Số lần
chỉnh sửa</t>
        </is>
      </c>
      <c r="J3" s="9" t="inlineStr">
        <is>
          <t>Ghi chú / yêu cầu chỉnh sửa</t>
        </is>
      </c>
    </row>
    <row r="4" ht="20" customHeight="1">
      <c r="A4" s="10" t="inlineStr">
        <is>
          <t>TRANG CHỦ  ·  home.html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18" customHeight="1">
      <c r="A5" s="12" t="n">
        <v>1</v>
      </c>
      <c r="B5" s="13" t="inlineStr">
        <is>
          <t>Trang chủ — ngành Nam</t>
        </is>
      </c>
      <c r="C5" s="13" t="inlineStr">
        <is>
          <t>home.html · nam</t>
        </is>
      </c>
      <c r="D5" s="12" t="inlineStr">
        <is>
          <t>✓ Có</t>
        </is>
      </c>
      <c r="E5" s="12" t="inlineStr">
        <is>
          <t>✓ Có</t>
        </is>
      </c>
      <c r="F5" s="13" t="inlineStr">
        <is>
          <t>Hoàn tất — file riêng home.html</t>
        </is>
      </c>
      <c r="G5" s="14" t="n">
        <v>46268</v>
      </c>
      <c r="H5" s="15" t="inlineStr">
        <is>
          <t>☐ Chưa duyệt</t>
        </is>
      </c>
      <c r="I5" s="16" t="n">
        <v>0</v>
      </c>
      <c r="J5" s="17" t="inlineStr"/>
    </row>
    <row r="6" ht="18" customHeight="1">
      <c r="A6" s="12" t="n">
        <v>2</v>
      </c>
      <c r="B6" s="13" t="inlineStr">
        <is>
          <t>Trang chủ — ngành Nữ</t>
        </is>
      </c>
      <c r="C6" s="13" t="inlineStr">
        <is>
          <t>home.html · nu</t>
        </is>
      </c>
      <c r="D6" s="12" t="inlineStr">
        <is>
          <t>✓ Có</t>
        </is>
      </c>
      <c r="E6" s="12" t="inlineStr">
        <is>
          <t>✓ Có</t>
        </is>
      </c>
      <c r="F6" s="13" t="inlineStr">
        <is>
          <t>Hoàn tất — file riêng home.html</t>
        </is>
      </c>
      <c r="G6" s="14" t="n">
        <v>46268</v>
      </c>
      <c r="H6" s="15" t="inlineStr">
        <is>
          <t>☐ Chưa duyệt</t>
        </is>
      </c>
      <c r="I6" s="16" t="n">
        <v>0</v>
      </c>
      <c r="J6" s="17" t="inlineStr"/>
    </row>
    <row r="7" ht="18" customHeight="1">
      <c r="A7" s="12" t="n">
        <v>3</v>
      </c>
      <c r="B7" s="13" t="inlineStr">
        <is>
          <t>Trang chủ — ngành Làm đẹp</t>
        </is>
      </c>
      <c r="C7" s="13" t="inlineStr">
        <is>
          <t>home.html · beauty</t>
        </is>
      </c>
      <c r="D7" s="12" t="inlineStr">
        <is>
          <t>✓ Có</t>
        </is>
      </c>
      <c r="E7" s="12" t="inlineStr">
        <is>
          <t>✓ Có</t>
        </is>
      </c>
      <c r="F7" s="13" t="inlineStr">
        <is>
          <t>Hoàn tất — file riêng home.html</t>
        </is>
      </c>
      <c r="G7" s="14" t="n">
        <v>46268</v>
      </c>
      <c r="H7" s="15" t="inlineStr">
        <is>
          <t>☐ Chưa duyệt</t>
        </is>
      </c>
      <c r="I7" s="16" t="n">
        <v>0</v>
      </c>
      <c r="J7" s="17" t="inlineStr"/>
    </row>
    <row r="8" ht="20" customHeight="1">
      <c r="A8" s="10" t="inlineStr">
        <is>
          <t>DANH MỤC &amp; TÌM KIẾM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18" customHeight="1">
      <c r="A9" s="12" t="n">
        <v>4</v>
      </c>
      <c r="B9" s="13" t="inlineStr">
        <is>
          <t>Danh sách sản phẩm (PLP)</t>
        </is>
      </c>
      <c r="C9" s="13" t="inlineStr">
        <is>
          <t>plp</t>
        </is>
      </c>
      <c r="D9" s="12" t="inlineStr">
        <is>
          <t>✓ Có</t>
        </is>
      </c>
      <c r="E9" s="12" t="inlineStr">
        <is>
          <t>✓ Có</t>
        </is>
      </c>
      <c r="F9" s="13" t="inlineStr">
        <is>
          <t>Hoàn tất</t>
        </is>
      </c>
      <c r="G9" s="14" t="n">
        <v>46268</v>
      </c>
      <c r="H9" s="15" t="inlineStr">
        <is>
          <t>☐ Chưa duyệt</t>
        </is>
      </c>
      <c r="I9" s="16" t="n">
        <v>0</v>
      </c>
      <c r="J9" s="17" t="inlineStr"/>
    </row>
    <row r="10" ht="18" customHeight="1">
      <c r="A10" s="12" t="n">
        <v>5</v>
      </c>
      <c r="B10" s="13" t="inlineStr">
        <is>
          <t>Trang thương hiệu (5 hãng)</t>
        </is>
      </c>
      <c r="C10" s="13" t="inlineStr">
        <is>
          <t>BRAND_PAGES</t>
        </is>
      </c>
      <c r="D10" s="12" t="inlineStr">
        <is>
          <t>✓ Có</t>
        </is>
      </c>
      <c r="E10" s="12" t="inlineStr">
        <is>
          <t>✓ Có</t>
        </is>
      </c>
      <c r="F10" s="13" t="inlineStr">
        <is>
          <t>Hoàn tất — 3 bản thử chưa áp</t>
        </is>
      </c>
      <c r="G10" s="14" t="n">
        <v>46267</v>
      </c>
      <c r="H10" s="15" t="inlineStr">
        <is>
          <t>☐ Chưa duyệt</t>
        </is>
      </c>
      <c r="I10" s="16" t="n">
        <v>0</v>
      </c>
      <c r="J10" s="17" t="inlineStr"/>
    </row>
    <row r="11" ht="18" customHeight="1">
      <c r="A11" s="12" t="n">
        <v>6</v>
      </c>
      <c r="B11" s="13" t="inlineStr">
        <is>
          <t>Tìm kiếm</t>
        </is>
      </c>
      <c r="C11" s="13" t="inlineStr">
        <is>
          <t>search</t>
        </is>
      </c>
      <c r="D11" s="12" t="inlineStr">
        <is>
          <t>✓ Có</t>
        </is>
      </c>
      <c r="E11" s="12" t="inlineStr">
        <is>
          <t>✓ Có</t>
        </is>
      </c>
      <c r="F11" s="13" t="inlineStr">
        <is>
          <t>Hoàn tất</t>
        </is>
      </c>
      <c r="G11" s="14" t="n">
        <v>46253</v>
      </c>
      <c r="H11" s="15" t="inlineStr">
        <is>
          <t>☐ Chưa duyệt</t>
        </is>
      </c>
      <c r="I11" s="16" t="n">
        <v>0</v>
      </c>
      <c r="J11" s="17" t="inlineStr"/>
    </row>
    <row r="12" ht="18" customHeight="1">
      <c r="A12" s="12" t="n">
        <v>7</v>
      </c>
      <c r="B12" s="13" t="inlineStr">
        <is>
          <t>Bộ lọc (panel đầy đủ)</t>
        </is>
      </c>
      <c r="C12" s="13" t="inlineStr">
        <is>
          <t>filter panel</t>
        </is>
      </c>
      <c r="D12" s="12" t="inlineStr">
        <is>
          <t>✓ Có</t>
        </is>
      </c>
      <c r="E12" s="12" t="inlineStr">
        <is>
          <t>✓ Có</t>
        </is>
      </c>
      <c r="F12" s="13" t="inlineStr">
        <is>
          <t>Hoàn tất — chờ chốt mức giá</t>
        </is>
      </c>
      <c r="G12" s="14" t="n">
        <v>46268</v>
      </c>
      <c r="H12" s="15" t="inlineStr">
        <is>
          <t>☐ Chưa duyệt</t>
        </is>
      </c>
      <c r="I12" s="16" t="n">
        <v>0</v>
      </c>
      <c r="J12" s="17" t="inlineStr"/>
    </row>
    <row r="13" ht="20" customHeight="1">
      <c r="A13" s="10" t="inlineStr">
        <is>
          <t>TRANG SẢN PHẨM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 ht="18" customHeight="1">
      <c r="A14" s="12" t="n">
        <v>8</v>
      </c>
      <c r="B14" s="13" t="inlineStr">
        <is>
          <t>Trang sản phẩm (PDP)</t>
        </is>
      </c>
      <c r="C14" s="13" t="inlineStr">
        <is>
          <t>pdp</t>
        </is>
      </c>
      <c r="D14" s="12" t="inlineStr">
        <is>
          <t>✓ Có</t>
        </is>
      </c>
      <c r="E14" s="12" t="inlineStr">
        <is>
          <t>✓ Có</t>
        </is>
      </c>
      <c r="F14" s="13" t="inlineStr">
        <is>
          <t>Hoàn tất — bản 1 là bản chuẩn</t>
        </is>
      </c>
      <c r="G14" s="14" t="n">
        <v>46269</v>
      </c>
      <c r="H14" s="15" t="inlineStr">
        <is>
          <t>☐ Chưa duyệt</t>
        </is>
      </c>
      <c r="I14" s="16" t="n">
        <v>0</v>
      </c>
      <c r="J14" s="17" t="inlineStr"/>
    </row>
    <row r="15" ht="20" customHeight="1">
      <c r="A15" s="10" t="inlineStr">
        <is>
          <t>GIỎ HÀNG &amp; THANH TOÁN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 ht="18" customHeight="1">
      <c r="A16" s="12" t="n">
        <v>9</v>
      </c>
      <c r="B16" s="13" t="inlineStr">
        <is>
          <t>Giỏ hàng</t>
        </is>
      </c>
      <c r="C16" s="13" t="inlineStr">
        <is>
          <t>cart</t>
        </is>
      </c>
      <c r="D16" s="12" t="inlineStr">
        <is>
          <t>✓ Có</t>
        </is>
      </c>
      <c r="E16" s="12" t="inlineStr">
        <is>
          <t>✓ Có</t>
        </is>
      </c>
      <c r="F16" s="13" t="inlineStr">
        <is>
          <t>Hoàn tất</t>
        </is>
      </c>
      <c r="G16" s="14" t="n">
        <v>46268</v>
      </c>
      <c r="H16" s="15" t="inlineStr">
        <is>
          <t>☐ Chưa duyệt</t>
        </is>
      </c>
      <c r="I16" s="16" t="n">
        <v>0</v>
      </c>
      <c r="J16" s="17" t="inlineStr"/>
    </row>
    <row r="17" ht="18" customHeight="1">
      <c r="A17" s="12" t="n">
        <v>10</v>
      </c>
      <c r="B17" s="13" t="inlineStr">
        <is>
          <t>Thanh toán</t>
        </is>
      </c>
      <c r="C17" s="13" t="inlineStr">
        <is>
          <t>checkout</t>
        </is>
      </c>
      <c r="D17" s="12" t="inlineStr">
        <is>
          <t>✓ Có</t>
        </is>
      </c>
      <c r="E17" s="12" t="inlineStr">
        <is>
          <t>✓ Có</t>
        </is>
      </c>
      <c r="F17" s="13" t="inlineStr">
        <is>
          <t>Hoàn tất — chờ chốt cọc đặt trước</t>
        </is>
      </c>
      <c r="G17" s="14" t="n">
        <v>46255</v>
      </c>
      <c r="H17" s="15" t="inlineStr">
        <is>
          <t>☐ Chưa duyệt</t>
        </is>
      </c>
      <c r="I17" s="16" t="n">
        <v>0</v>
      </c>
      <c r="J17" s="17" t="inlineStr"/>
    </row>
    <row r="18" ht="18" customHeight="1">
      <c r="A18" s="12" t="n">
        <v>11</v>
      </c>
      <c r="B18" s="13" t="inlineStr">
        <is>
          <t>Hoàn tất đơn hàng</t>
        </is>
      </c>
      <c r="C18" s="13" t="inlineStr">
        <is>
          <t>done</t>
        </is>
      </c>
      <c r="D18" s="12" t="inlineStr">
        <is>
          <t>✓ Có</t>
        </is>
      </c>
      <c r="E18" s="12" t="inlineStr">
        <is>
          <t>✓ Có</t>
        </is>
      </c>
      <c r="F18" s="13" t="inlineStr">
        <is>
          <t>Hoàn tất</t>
        </is>
      </c>
      <c r="G18" s="14" t="n">
        <v>46245</v>
      </c>
      <c r="H18" s="15" t="inlineStr">
        <is>
          <t>☐ Chưa duyệt</t>
        </is>
      </c>
      <c r="I18" s="16" t="n">
        <v>0</v>
      </c>
      <c r="J18" s="17" t="inlineStr"/>
    </row>
    <row r="19" ht="18" customHeight="1">
      <c r="A19" s="12" t="n">
        <v>12</v>
      </c>
      <c r="B19" s="13" t="inlineStr">
        <is>
          <t>Chi tiết đơn hàng</t>
        </is>
      </c>
      <c r="C19" s="13" t="inlineStr">
        <is>
          <t>order</t>
        </is>
      </c>
      <c r="D19" s="12" t="inlineStr">
        <is>
          <t>✓ Có</t>
        </is>
      </c>
      <c r="E19" s="12" t="inlineStr">
        <is>
          <t>✓ Có</t>
        </is>
      </c>
      <c r="F19" s="13" t="inlineStr">
        <is>
          <t>Hoàn tất</t>
        </is>
      </c>
      <c r="G19" s="14" t="n">
        <v>46254</v>
      </c>
      <c r="H19" s="15" t="inlineStr">
        <is>
          <t>☐ Chưa duyệt</t>
        </is>
      </c>
      <c r="I19" s="16" t="n">
        <v>0</v>
      </c>
      <c r="J19" s="17" t="inlineStr"/>
    </row>
    <row r="20" ht="20" customHeight="1">
      <c r="A20" s="10" t="inlineStr">
        <is>
          <t>ĐĂNG NHẬP &amp; TÀI KHOẢN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18" customHeight="1">
      <c r="A21" s="12" t="n">
        <v>13</v>
      </c>
      <c r="B21" s="13" t="inlineStr">
        <is>
          <t>Đăng nhập</t>
        </is>
      </c>
      <c r="C21" s="13" t="inlineStr">
        <is>
          <t>login</t>
        </is>
      </c>
      <c r="D21" s="12" t="inlineStr">
        <is>
          <t>✓ Có</t>
        </is>
      </c>
      <c r="E21" s="12" t="inlineStr">
        <is>
          <t>✓ Có</t>
        </is>
      </c>
      <c r="F21" s="13" t="inlineStr">
        <is>
          <t>Hoàn tất</t>
        </is>
      </c>
      <c r="G21" s="14" t="n">
        <v>46255</v>
      </c>
      <c r="H21" s="15" t="inlineStr">
        <is>
          <t>☐ Chưa duyệt</t>
        </is>
      </c>
      <c r="I21" s="16" t="n">
        <v>0</v>
      </c>
      <c r="J21" s="17" t="inlineStr"/>
    </row>
    <row r="22" ht="18" customHeight="1">
      <c r="A22" s="12" t="n">
        <v>14</v>
      </c>
      <c r="B22" s="13" t="inlineStr">
        <is>
          <t>Đăng ký (nhập số điện thoại)</t>
        </is>
      </c>
      <c r="C22" s="13" t="inlineStr">
        <is>
          <t>register</t>
        </is>
      </c>
      <c r="D22" s="12" t="inlineStr">
        <is>
          <t>✓ Có</t>
        </is>
      </c>
      <c r="E22" s="12" t="inlineStr">
        <is>
          <t>✓ Có</t>
        </is>
      </c>
      <c r="F22" s="13" t="inlineStr">
        <is>
          <t>Hoàn tất</t>
        </is>
      </c>
      <c r="G22" s="14" t="n">
        <v>46255</v>
      </c>
      <c r="H22" s="15" t="inlineStr">
        <is>
          <t>☐ Chưa duyệt</t>
        </is>
      </c>
      <c r="I22" s="16" t="n">
        <v>0</v>
      </c>
      <c r="J22" s="17" t="inlineStr"/>
    </row>
    <row r="23" ht="18" customHeight="1">
      <c r="A23" s="12" t="n">
        <v>15</v>
      </c>
      <c r="B23" s="13" t="inlineStr">
        <is>
          <t>Xác thực OTP 6 ô</t>
        </is>
      </c>
      <c r="C23" s="13" t="inlineStr">
        <is>
          <t>otp</t>
        </is>
      </c>
      <c r="D23" s="12" t="inlineStr">
        <is>
          <t>✓ Có</t>
        </is>
      </c>
      <c r="E23" s="12" t="inlineStr">
        <is>
          <t>✓ Có</t>
        </is>
      </c>
      <c r="F23" s="13" t="inlineStr">
        <is>
          <t>Hoàn tất</t>
        </is>
      </c>
      <c r="G23" s="14" t="n">
        <v>46255</v>
      </c>
      <c r="H23" s="15" t="inlineStr">
        <is>
          <t>☐ Chưa duyệt</t>
        </is>
      </c>
      <c r="I23" s="16" t="n">
        <v>0</v>
      </c>
      <c r="J23" s="17" t="inlineStr"/>
    </row>
    <row r="24" ht="18" customHeight="1">
      <c r="A24" s="12" t="n">
        <v>16</v>
      </c>
      <c r="B24" s="13" t="inlineStr">
        <is>
          <t>Hoàn tất đăng ký (họ tên · email · mật khẩu)</t>
        </is>
      </c>
      <c r="C24" s="13" t="inlineStr">
        <is>
          <t>reginfo</t>
        </is>
      </c>
      <c r="D24" s="12" t="inlineStr">
        <is>
          <t>✓ Có</t>
        </is>
      </c>
      <c r="E24" s="12" t="inlineStr">
        <is>
          <t>✓ Có</t>
        </is>
      </c>
      <c r="F24" s="13" t="inlineStr">
        <is>
          <t>Hoàn tất — chưa có bản vẽ Figma riêng</t>
        </is>
      </c>
      <c r="G24" s="14" t="n">
        <v>46255</v>
      </c>
      <c r="H24" s="15" t="inlineStr">
        <is>
          <t>☐ Chưa duyệt</t>
        </is>
      </c>
      <c r="I24" s="16" t="n">
        <v>0</v>
      </c>
      <c r="J24" s="17" t="inlineStr"/>
    </row>
    <row r="25" ht="18" customHeight="1">
      <c r="A25" s="12" t="n">
        <v>17</v>
      </c>
      <c r="B25" s="13" t="inlineStr">
        <is>
          <t>Quên mật khẩu</t>
        </is>
      </c>
      <c r="C25" s="13" t="inlineStr">
        <is>
          <t>forgot</t>
        </is>
      </c>
      <c r="D25" s="12" t="inlineStr">
        <is>
          <t>✓ Có</t>
        </is>
      </c>
      <c r="E25" s="12" t="inlineStr">
        <is>
          <t>✓ Có</t>
        </is>
      </c>
      <c r="F25" s="13" t="inlineStr">
        <is>
          <t>Hoàn tất</t>
        </is>
      </c>
      <c r="G25" s="14" t="n">
        <v>46255</v>
      </c>
      <c r="H25" s="15" t="inlineStr">
        <is>
          <t>☐ Chưa duyệt</t>
        </is>
      </c>
      <c r="I25" s="16" t="n">
        <v>0</v>
      </c>
      <c r="J25" s="17" t="inlineStr"/>
    </row>
    <row r="26" ht="18" customHeight="1">
      <c r="A26" s="12" t="n">
        <v>18</v>
      </c>
      <c r="B26" s="13" t="inlineStr">
        <is>
          <t>Đặt lại mật khẩu</t>
        </is>
      </c>
      <c r="C26" s="13" t="inlineStr">
        <is>
          <t>setpass</t>
        </is>
      </c>
      <c r="D26" s="12" t="inlineStr">
        <is>
          <t>✓ Có</t>
        </is>
      </c>
      <c r="E26" s="12" t="inlineStr">
        <is>
          <t>✓ Có</t>
        </is>
      </c>
      <c r="F26" s="13" t="inlineStr">
        <is>
          <t>Hoàn tất</t>
        </is>
      </c>
      <c r="G26" s="14" t="n">
        <v>46255</v>
      </c>
      <c r="H26" s="15" t="inlineStr">
        <is>
          <t>☐ Chưa duyệt</t>
        </is>
      </c>
      <c r="I26" s="16" t="n">
        <v>0</v>
      </c>
      <c r="J26" s="17" t="inlineStr"/>
    </row>
    <row r="27" ht="18" customHeight="1">
      <c r="A27" s="12" t="n">
        <v>19</v>
      </c>
      <c r="B27" s="13" t="inlineStr">
        <is>
          <t>Tài khoản — Thông tin</t>
        </is>
      </c>
      <c r="C27" s="13" t="inlineStr">
        <is>
          <t>account · info</t>
        </is>
      </c>
      <c r="D27" s="12" t="inlineStr">
        <is>
          <t>✓ Có</t>
        </is>
      </c>
      <c r="E27" s="12" t="inlineStr">
        <is>
          <t>✓ Có</t>
        </is>
      </c>
      <c r="F27" s="13" t="inlineStr">
        <is>
          <t>Hoàn tất — chưa có trạng thái lỗi/rỗng</t>
        </is>
      </c>
      <c r="G27" s="14" t="n">
        <v>46251</v>
      </c>
      <c r="H27" s="15" t="inlineStr">
        <is>
          <t>☐ Chưa duyệt</t>
        </is>
      </c>
      <c r="I27" s="16" t="n">
        <v>0</v>
      </c>
      <c r="J27" s="17" t="inlineStr"/>
    </row>
    <row r="28" ht="18" customHeight="1">
      <c r="A28" s="12" t="n">
        <v>20</v>
      </c>
      <c r="B28" s="13" t="inlineStr">
        <is>
          <t>Tài khoản — Đơn hàng</t>
        </is>
      </c>
      <c r="C28" s="13" t="inlineStr">
        <is>
          <t>account · orders</t>
        </is>
      </c>
      <c r="D28" s="12" t="inlineStr">
        <is>
          <t>✓ Có</t>
        </is>
      </c>
      <c r="E28" s="12" t="inlineStr">
        <is>
          <t>✓ Có</t>
        </is>
      </c>
      <c r="F28" s="13" t="inlineStr">
        <is>
          <t>Hoàn tất — chưa có trạng thái rỗng</t>
        </is>
      </c>
      <c r="G28" s="14" t="n">
        <v>46251</v>
      </c>
      <c r="H28" s="15" t="inlineStr">
        <is>
          <t>☐ Chưa duyệt</t>
        </is>
      </c>
      <c r="I28" s="16" t="n">
        <v>0</v>
      </c>
      <c r="J28" s="17" t="inlineStr"/>
    </row>
    <row r="29" ht="18" customHeight="1">
      <c r="A29" s="12" t="n">
        <v>21</v>
      </c>
      <c r="B29" s="13" t="inlineStr">
        <is>
          <t>Tài khoản — Địa chỉ</t>
        </is>
      </c>
      <c r="C29" s="13" t="inlineStr">
        <is>
          <t>account · address</t>
        </is>
      </c>
      <c r="D29" s="12" t="inlineStr">
        <is>
          <t>✓ Có</t>
        </is>
      </c>
      <c r="E29" s="12" t="inlineStr">
        <is>
          <t>✓ Có</t>
        </is>
      </c>
      <c r="F29" s="13" t="inlineStr">
        <is>
          <t>Hoàn tất — chưa có trạng thái rỗng</t>
        </is>
      </c>
      <c r="G29" s="14" t="n">
        <v>46251</v>
      </c>
      <c r="H29" s="15" t="inlineStr">
        <is>
          <t>☐ Chưa duyệt</t>
        </is>
      </c>
      <c r="I29" s="16" t="n">
        <v>0</v>
      </c>
      <c r="J29" s="17" t="inlineStr"/>
    </row>
    <row r="30" ht="18" customHeight="1">
      <c r="A30" s="12" t="n">
        <v>22</v>
      </c>
      <c r="B30" s="13" t="inlineStr">
        <is>
          <t>Tài khoản — Thành viên</t>
        </is>
      </c>
      <c r="C30" s="13" t="inlineStr">
        <is>
          <t>account · loyalty</t>
        </is>
      </c>
      <c r="D30" s="12" t="inlineStr">
        <is>
          <t>✓ Có</t>
        </is>
      </c>
      <c r="E30" s="12" t="inlineStr">
        <is>
          <t>✓ Có</t>
        </is>
      </c>
      <c r="F30" s="13" t="inlineStr">
        <is>
          <t>Hoàn tất</t>
        </is>
      </c>
      <c r="G30" s="14" t="n">
        <v>46251</v>
      </c>
      <c r="H30" s="15" t="inlineStr">
        <is>
          <t>☐ Chưa duyệt</t>
        </is>
      </c>
      <c r="I30" s="16" t="n">
        <v>0</v>
      </c>
      <c r="J30" s="17" t="inlineStr"/>
    </row>
    <row r="31" ht="18" customHeight="1">
      <c r="A31" s="12" t="n">
        <v>23</v>
      </c>
      <c r="B31" s="13" t="inlineStr">
        <is>
          <t>Tài khoản — Điểm thưởng</t>
        </is>
      </c>
      <c r="C31" s="13" t="inlineStr">
        <is>
          <t>account · points</t>
        </is>
      </c>
      <c r="D31" s="12" t="inlineStr">
        <is>
          <t>✓ Có</t>
        </is>
      </c>
      <c r="E31" s="12" t="inlineStr">
        <is>
          <t>✓ Có</t>
        </is>
      </c>
      <c r="F31" s="13" t="inlineStr">
        <is>
          <t>Hoàn tất — chưa có trạng thái rỗng</t>
        </is>
      </c>
      <c r="G31" s="14" t="n">
        <v>46251</v>
      </c>
      <c r="H31" s="15" t="inlineStr">
        <is>
          <t>☐ Chưa duyệt</t>
        </is>
      </c>
      <c r="I31" s="16" t="n">
        <v>0</v>
      </c>
      <c r="J31" s="17" t="inlineStr"/>
    </row>
    <row r="32" ht="20" customHeight="1">
      <c r="A32" s="10" t="inlineStr">
        <is>
          <t>TRANG TĨNH / CHÍNH SÁCH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18" customHeight="1">
      <c r="A33" s="12" t="n">
        <v>24</v>
      </c>
      <c r="B33" s="13" t="inlineStr">
        <is>
          <t>Chính sách bảo mật</t>
        </is>
      </c>
      <c r="C33" s="13" t="inlineStr">
        <is>
          <t>privacy</t>
        </is>
      </c>
      <c r="D33" s="12" t="inlineStr">
        <is>
          <t>✓ Có</t>
        </is>
      </c>
      <c r="E33" s="12" t="inlineStr">
        <is>
          <t>✓ Có</t>
        </is>
      </c>
      <c r="F33" s="13" t="inlineStr">
        <is>
          <t>Hoàn tất</t>
        </is>
      </c>
      <c r="G33" s="14" t="n">
        <v>46246</v>
      </c>
      <c r="H33" s="15" t="inlineStr">
        <is>
          <t>☐ Chưa duyệt</t>
        </is>
      </c>
      <c r="I33" s="16" t="n">
        <v>0</v>
      </c>
      <c r="J33" s="17" t="inlineStr"/>
    </row>
    <row r="34" ht="18" customHeight="1">
      <c r="A34" s="12" t="n">
        <v>25</v>
      </c>
      <c r="B34" s="13" t="inlineStr">
        <is>
          <t>Điều khoản dịch vụ</t>
        </is>
      </c>
      <c r="C34" s="13" t="inlineStr">
        <is>
          <t>terms</t>
        </is>
      </c>
      <c r="D34" s="12" t="inlineStr">
        <is>
          <t>✓ Có</t>
        </is>
      </c>
      <c r="E34" s="12" t="inlineStr">
        <is>
          <t>✓ Có</t>
        </is>
      </c>
      <c r="F34" s="13" t="inlineStr">
        <is>
          <t>Hoàn tất</t>
        </is>
      </c>
      <c r="G34" s="14" t="n">
        <v>46246</v>
      </c>
      <c r="H34" s="15" t="inlineStr">
        <is>
          <t>☐ Chưa duyệt</t>
        </is>
      </c>
      <c r="I34" s="16" t="n">
        <v>0</v>
      </c>
      <c r="J34" s="17" t="inlineStr"/>
    </row>
    <row r="35" ht="18" customHeight="1">
      <c r="A35" s="12" t="n">
        <v>26</v>
      </c>
      <c r="B35" s="13" t="inlineStr">
        <is>
          <t>Chính sách đổi trả</t>
        </is>
      </c>
      <c r="C35" s="13" t="inlineStr">
        <is>
          <t>returns</t>
        </is>
      </c>
      <c r="D35" s="12" t="inlineStr">
        <is>
          <t>✓ Có</t>
        </is>
      </c>
      <c r="E35" s="12" t="inlineStr">
        <is>
          <t>✓ Có</t>
        </is>
      </c>
      <c r="F35" s="13" t="inlineStr">
        <is>
          <t>Hoàn tất</t>
        </is>
      </c>
      <c r="G35" s="14" t="n">
        <v>46246</v>
      </c>
      <c r="H35" s="15" t="inlineStr">
        <is>
          <t>☐ Chưa duyệt</t>
        </is>
      </c>
      <c r="I35" s="16" t="n">
        <v>0</v>
      </c>
      <c r="J35" s="17" t="inlineStr"/>
    </row>
  </sheetData>
  <autoFilter ref="A3:J35"/>
  <conditionalFormatting sqref="H4:H35">
    <cfRule type="expression" priority="1" dxfId="0" stopIfTrue="0">
      <formula>ISNUMBER(SEARCH("Đạt",H4))</formula>
    </cfRule>
    <cfRule type="expression" priority="2" dxfId="1" stopIfTrue="0">
      <formula>ISNUMBER(SEARCH("Cần chỉnh",H4))</formula>
    </cfRule>
    <cfRule type="expression" priority="3" dxfId="2" stopIfTrue="0">
      <formula>ISNUMBER(SEARCH("Không áp dụng",H4))</formula>
    </cfRule>
  </conditionalFormatting>
  <dataValidations count="1">
    <dataValidation sqref="H4:H35" showDropDown="0" showInputMessage="1" showErrorMessage="1" allowBlank="1" errorTitle="Giá trị không hợp lệ" error="Chọn một giá trị trong danh sách." promptTitle="Khách duyệt" prompt="Chọn trạng thái nghiệm thu" type="list">
      <formula1>"☐ Chưa duyệt,☑ Đạt,✎ Cần chỉnh sửa,— Không áp dụng"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50" customWidth="1" min="9" max="9"/>
  </cols>
  <sheetData>
    <row r="1">
      <c r="A1" s="1" t="inlineStr">
        <is>
          <t>Bảng 2 — Thành phần giao diện dùng lại</t>
        </is>
      </c>
    </row>
    <row r="2">
      <c r="A2" s="2" t="inlineStr">
        <is>
          <t>Một thành phần xuất hiện ở nhiều trang; duyệt ở đây là duyệt cho mọi trang có dùng nó.</t>
        </is>
      </c>
    </row>
    <row r="3" ht="30" customHeight="1">
      <c r="A3" s="9" t="inlineStr">
        <is>
          <t>STT</t>
        </is>
      </c>
      <c r="B3" s="9" t="inlineStr">
        <is>
          <t>Thành phần</t>
        </is>
      </c>
      <c r="C3" s="9" t="inlineStr">
        <is>
          <t>Tên kỹ thuật</t>
        </is>
      </c>
      <c r="D3" s="9" t="inlineStr">
        <is>
          <t>Bản mobile
(index.html)</t>
        </is>
      </c>
      <c r="E3" s="9" t="inlineStr">
        <is>
          <t>Bản desktop
(desktop.html)</t>
        </is>
      </c>
      <c r="F3" s="9" t="inlineStr">
        <is>
          <t>Cập nhật
gần nhất</t>
        </is>
      </c>
      <c r="G3" s="9" t="inlineStr">
        <is>
          <t>Khách duyệt</t>
        </is>
      </c>
      <c r="H3" s="9" t="inlineStr">
        <is>
          <t>Số lần
chỉnh sửa</t>
        </is>
      </c>
      <c r="I3" s="9" t="inlineStr">
        <is>
          <t>Ghi chú / yêu cầu chỉnh sửa</t>
        </is>
      </c>
    </row>
    <row r="4" ht="20" customHeight="1">
      <c r="A4" s="10" t="inlineStr">
        <is>
          <t>KHUNG TRANG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</row>
    <row r="5" ht="18" customHeight="1">
      <c r="A5" s="12" t="n">
        <v>1</v>
      </c>
      <c r="B5" s="13" t="inlineStr">
        <is>
          <t>Thanh khuyến mãi trên cùng</t>
        </is>
      </c>
      <c r="C5" s="13" t="inlineStr">
        <is>
          <t>promo bar</t>
        </is>
      </c>
      <c r="D5" s="12" t="inlineStr">
        <is>
          <t>✓ Có</t>
        </is>
      </c>
      <c r="E5" s="12" t="inlineStr">
        <is>
          <t>✓ Có</t>
        </is>
      </c>
      <c r="F5" s="14" t="n">
        <v>46258</v>
      </c>
      <c r="G5" s="15" t="inlineStr">
        <is>
          <t>☐ Chưa duyệt</t>
        </is>
      </c>
      <c r="H5" s="16" t="n">
        <v>0</v>
      </c>
      <c r="I5" s="17" t="inlineStr"/>
    </row>
    <row r="6" ht="18" customHeight="1">
      <c r="A6" s="12" t="n">
        <v>2</v>
      </c>
      <c r="B6" s="13" t="inlineStr">
        <is>
          <t>Header mobile</t>
        </is>
      </c>
      <c r="C6" s="13" t="inlineStr">
        <is>
          <t>page-header-mobile</t>
        </is>
      </c>
      <c r="D6" s="12" t="inlineStr">
        <is>
          <t>✓ Có</t>
        </is>
      </c>
      <c r="E6" s="12" t="inlineStr">
        <is>
          <t>— Không áp dụng</t>
        </is>
      </c>
      <c r="F6" s="14" t="n">
        <v>46269</v>
      </c>
      <c r="G6" s="15" t="inlineStr">
        <is>
          <t>☐ Chưa duyệt</t>
        </is>
      </c>
      <c r="H6" s="16" t="n">
        <v>0</v>
      </c>
      <c r="I6" s="17" t="inlineStr"/>
    </row>
    <row r="7" ht="18" customHeight="1">
      <c r="A7" s="12" t="n">
        <v>3</v>
      </c>
      <c r="B7" s="13" t="inlineStr">
        <is>
          <t>Header desktop + thanh danh mục</t>
        </is>
      </c>
      <c r="C7" s="13" t="inlineStr">
        <is>
          <t>page-header-desktop</t>
        </is>
      </c>
      <c r="D7" s="12" t="inlineStr">
        <is>
          <t>— Không áp dụng</t>
        </is>
      </c>
      <c r="E7" s="12" t="inlineStr">
        <is>
          <t>✓ Có</t>
        </is>
      </c>
      <c r="F7" s="14" t="n">
        <v>46269</v>
      </c>
      <c r="G7" s="15" t="inlineStr">
        <is>
          <t>☐ Chưa duyệt</t>
        </is>
      </c>
      <c r="H7" s="16" t="n">
        <v>0</v>
      </c>
      <c r="I7" s="17" t="inlineStr"/>
    </row>
    <row r="8" ht="18" customHeight="1">
      <c r="A8" s="12" t="n">
        <v>4</v>
      </c>
      <c r="B8" s="13" t="inlineStr">
        <is>
          <t>Menu mobile (3 ngành, submenu)</t>
        </is>
      </c>
      <c r="C8" s="13" t="inlineStr">
        <is>
          <t>MENU_DATA</t>
        </is>
      </c>
      <c r="D8" s="12" t="inlineStr">
        <is>
          <t>✓ Có</t>
        </is>
      </c>
      <c r="E8" s="12" t="inlineStr">
        <is>
          <t>— Không áp dụng</t>
        </is>
      </c>
      <c r="F8" s="14" t="n">
        <v>46269</v>
      </c>
      <c r="G8" s="15" t="inlineStr">
        <is>
          <t>☐ Chưa duyệt</t>
        </is>
      </c>
      <c r="H8" s="16" t="n">
        <v>0</v>
      </c>
      <c r="I8" s="17" t="inlineStr"/>
    </row>
    <row r="9" ht="18" customHeight="1">
      <c r="A9" s="12" t="n">
        <v>5</v>
      </c>
      <c r="B9" s="13" t="inlineStr">
        <is>
          <t>Mega menu desktop 3 cột</t>
        </is>
      </c>
      <c r="C9" s="13" t="inlineStr">
        <is>
          <t>DK_NAV_CATS</t>
        </is>
      </c>
      <c r="D9" s="12" t="inlineStr">
        <is>
          <t>— Không áp dụng</t>
        </is>
      </c>
      <c r="E9" s="12" t="inlineStr">
        <is>
          <t>✓ Có</t>
        </is>
      </c>
      <c r="F9" s="14" t="n">
        <v>46269</v>
      </c>
      <c r="G9" s="15" t="inlineStr">
        <is>
          <t>☐ Chưa duyệt</t>
        </is>
      </c>
      <c r="H9" s="16" t="n">
        <v>0</v>
      </c>
      <c r="I9" s="17" t="inlineStr"/>
    </row>
    <row r="10" ht="18" customHeight="1">
      <c r="A10" s="12" t="n">
        <v>6</v>
      </c>
      <c r="B10" s="13" t="inlineStr">
        <is>
          <t>Ô tìm kiếm trên header</t>
        </is>
      </c>
      <c r="C10" s="13" t="inlineStr">
        <is>
          <t>search box</t>
        </is>
      </c>
      <c r="D10" s="12" t="inlineStr">
        <is>
          <t>✓ Có</t>
        </is>
      </c>
      <c r="E10" s="12" t="inlineStr">
        <is>
          <t>✓ Có</t>
        </is>
      </c>
      <c r="F10" s="14" t="n">
        <v>46253</v>
      </c>
      <c r="G10" s="15" t="inlineStr">
        <is>
          <t>☐ Chưa duyệt</t>
        </is>
      </c>
      <c r="H10" s="16" t="n">
        <v>0</v>
      </c>
      <c r="I10" s="17" t="inlineStr"/>
    </row>
    <row r="11" ht="18" customHeight="1">
      <c r="A11" s="12" t="n">
        <v>7</v>
      </c>
      <c r="B11" s="13" t="inlineStr">
        <is>
          <t>Đường dẫn phân cấp (breadcrumb)</t>
        </is>
      </c>
      <c r="C11" s="13" t="inlineStr">
        <is>
          <t>breadcrumbs</t>
        </is>
      </c>
      <c r="D11" s="12" t="inlineStr">
        <is>
          <t>— Không áp dụng</t>
        </is>
      </c>
      <c r="E11" s="12" t="inlineStr">
        <is>
          <t>✓ Có</t>
        </is>
      </c>
      <c r="F11" s="14" t="n">
        <v>46268</v>
      </c>
      <c r="G11" s="15" t="inlineStr">
        <is>
          <t>☐ Chưa duyệt</t>
        </is>
      </c>
      <c r="H11" s="16" t="n">
        <v>0</v>
      </c>
      <c r="I11" s="17" t="inlineStr"/>
    </row>
    <row r="12" ht="18" customHeight="1">
      <c r="A12" s="12" t="n">
        <v>8</v>
      </c>
      <c r="B12" s="13" t="inlineStr">
        <is>
          <t>Khối cam kết dịch vụ</t>
        </is>
      </c>
      <c r="C12" s="13" t="inlineStr">
        <is>
          <t>service-promises</t>
        </is>
      </c>
      <c r="D12" s="12" t="inlineStr">
        <is>
          <t>✓ Có</t>
        </is>
      </c>
      <c r="E12" s="12" t="inlineStr">
        <is>
          <t>✓ Có</t>
        </is>
      </c>
      <c r="F12" s="14" t="n">
        <v>46260</v>
      </c>
      <c r="G12" s="15" t="inlineStr">
        <is>
          <t>☐ Chưa duyệt</t>
        </is>
      </c>
      <c r="H12" s="16" t="n">
        <v>0</v>
      </c>
      <c r="I12" s="17" t="inlineStr"/>
    </row>
    <row r="13" ht="18" customHeight="1">
      <c r="A13" s="12" t="n">
        <v>9</v>
      </c>
      <c r="B13" s="13" t="inlineStr">
        <is>
          <t>Footer mobile</t>
        </is>
      </c>
      <c r="C13" s="13" t="inlineStr">
        <is>
          <t>page-footer-mobile</t>
        </is>
      </c>
      <c r="D13" s="12" t="inlineStr">
        <is>
          <t>✓ Có</t>
        </is>
      </c>
      <c r="E13" s="12" t="inlineStr">
        <is>
          <t>— Không áp dụng</t>
        </is>
      </c>
      <c r="F13" s="14" t="n">
        <v>46260</v>
      </c>
      <c r="G13" s="15" t="inlineStr">
        <is>
          <t>☐ Chưa duyệt</t>
        </is>
      </c>
      <c r="H13" s="16" t="n">
        <v>0</v>
      </c>
      <c r="I13" s="17" t="inlineStr"/>
    </row>
    <row r="14" ht="18" customHeight="1">
      <c r="A14" s="12" t="n">
        <v>10</v>
      </c>
      <c r="B14" s="13" t="inlineStr">
        <is>
          <t>Footer desktop</t>
        </is>
      </c>
      <c r="C14" s="13" t="inlineStr">
        <is>
          <t>page-footer-desktop</t>
        </is>
      </c>
      <c r="D14" s="12" t="inlineStr">
        <is>
          <t>— Không áp dụng</t>
        </is>
      </c>
      <c r="E14" s="12" t="inlineStr">
        <is>
          <t>✓ Có</t>
        </is>
      </c>
      <c r="F14" s="14" t="n">
        <v>46260</v>
      </c>
      <c r="G14" s="15" t="inlineStr">
        <is>
          <t>☐ Chưa duyệt</t>
        </is>
      </c>
      <c r="H14" s="16" t="n">
        <v>0</v>
      </c>
      <c r="I14" s="17" t="inlineStr"/>
    </row>
    <row r="15" ht="18" customHeight="1">
      <c r="A15" s="12" t="n">
        <v>11</v>
      </c>
      <c r="B15" s="13" t="inlineStr">
        <is>
          <t>Nút cài đặt (đổi ngôn ngữ · font · bộ da)</t>
        </is>
      </c>
      <c r="C15" s="13" t="inlineStr">
        <is>
          <t>settings FAB</t>
        </is>
      </c>
      <c r="D15" s="12" t="inlineStr">
        <is>
          <t>✓ Có</t>
        </is>
      </c>
      <c r="E15" s="12" t="inlineStr">
        <is>
          <t>✓ Có</t>
        </is>
      </c>
      <c r="F15" s="14" t="n">
        <v>46259</v>
      </c>
      <c r="G15" s="15" t="inlineStr">
        <is>
          <t>☐ Chưa duyệt</t>
        </is>
      </c>
      <c r="H15" s="16" t="n">
        <v>0</v>
      </c>
      <c r="I15" s="17" t="inlineStr"/>
    </row>
    <row r="16" ht="18" customHeight="1">
      <c r="A16" s="12" t="n">
        <v>12</v>
      </c>
      <c r="B16" s="13" t="inlineStr">
        <is>
          <t>Nút lên đầu trang</t>
        </is>
      </c>
      <c r="C16" s="13" t="inlineStr">
        <is>
          <t>#topFab</t>
        </is>
      </c>
      <c r="D16" s="12" t="inlineStr">
        <is>
          <t>✓ Có</t>
        </is>
      </c>
      <c r="E16" s="12" t="inlineStr">
        <is>
          <t>✓ Có</t>
        </is>
      </c>
      <c r="F16" s="14" t="n">
        <v>46267</v>
      </c>
      <c r="G16" s="15" t="inlineStr">
        <is>
          <t>☐ Chưa duyệt</t>
        </is>
      </c>
      <c r="H16" s="16" t="n">
        <v>0</v>
      </c>
      <c r="I16" s="17" t="inlineStr"/>
    </row>
    <row r="17" ht="20" customHeight="1">
      <c r="A17" s="10" t="inlineStr">
        <is>
          <t>THẺ SẢN PHẨM &amp; DANH SÁCH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 ht="18" customHeight="1">
      <c r="A18" s="12" t="n">
        <v>13</v>
      </c>
      <c r="B18" s="13" t="inlineStr">
        <is>
          <t>Thẻ sản phẩm — lưới</t>
        </is>
      </c>
      <c r="C18" s="13" t="inlineStr">
        <is>
          <t>product-item-info</t>
        </is>
      </c>
      <c r="D18" s="12" t="inlineStr">
        <is>
          <t>✓ Có</t>
        </is>
      </c>
      <c r="E18" s="12" t="inlineStr">
        <is>
          <t>✓ Có</t>
        </is>
      </c>
      <c r="F18" s="14" t="n">
        <v>46268</v>
      </c>
      <c r="G18" s="15" t="inlineStr">
        <is>
          <t>☐ Chưa duyệt</t>
        </is>
      </c>
      <c r="H18" s="16" t="n">
        <v>0</v>
      </c>
      <c r="I18" s="17" t="inlineStr"/>
    </row>
    <row r="19" ht="18" customHeight="1">
      <c r="A19" s="12" t="n">
        <v>14</v>
      </c>
      <c r="B19" s="13" t="inlineStr">
        <is>
          <t>Thẻ sản phẩm — dải trượt ngang</t>
        </is>
      </c>
      <c r="C19" s="13" t="inlineStr">
        <is>
          <t>product-item-info · rail</t>
        </is>
      </c>
      <c r="D19" s="12" t="inlineStr">
        <is>
          <t>✓ Có</t>
        </is>
      </c>
      <c r="E19" s="12" t="inlineStr">
        <is>
          <t>✓ Có</t>
        </is>
      </c>
      <c r="F19" s="14" t="n">
        <v>46268</v>
      </c>
      <c r="G19" s="15" t="inlineStr">
        <is>
          <t>☐ Chưa duyệt</t>
        </is>
      </c>
      <c r="H19" s="16" t="n">
        <v>0</v>
      </c>
      <c r="I19" s="17" t="inlineStr"/>
    </row>
    <row r="20" ht="18" customHeight="1">
      <c r="A20" s="12" t="n">
        <v>15</v>
      </c>
      <c r="B20" s="13" t="inlineStr">
        <is>
          <t>Nhãn trên ảnh (Best seller, quà tặng…)</t>
        </is>
      </c>
      <c r="C20" s="13" t="inlineStr">
        <is>
          <t>badge on-image</t>
        </is>
      </c>
      <c r="D20" s="12" t="inlineStr">
        <is>
          <t>✓ Có</t>
        </is>
      </c>
      <c r="E20" s="12" t="inlineStr">
        <is>
          <t>✓ Có</t>
        </is>
      </c>
      <c r="F20" s="14" t="n">
        <v>46253</v>
      </c>
      <c r="G20" s="15" t="inlineStr">
        <is>
          <t>☐ Chưa duyệt</t>
        </is>
      </c>
      <c r="H20" s="16" t="n">
        <v>0</v>
      </c>
      <c r="I20" s="17" t="inlineStr"/>
    </row>
    <row r="21" ht="18" customHeight="1">
      <c r="A21" s="12" t="n">
        <v>16</v>
      </c>
      <c r="B21" s="13" t="inlineStr">
        <is>
          <t>Nhãn “Đặt trước” đứng trước tên</t>
        </is>
      </c>
      <c r="C21" s="13" t="inlineStr">
        <is>
          <t>badge pre-order</t>
        </is>
      </c>
      <c r="D21" s="12" t="inlineStr">
        <is>
          <t>✓ Có</t>
        </is>
      </c>
      <c r="E21" s="12" t="inlineStr">
        <is>
          <t>✓ Có</t>
        </is>
      </c>
      <c r="F21" s="14" t="n">
        <v>46268</v>
      </c>
      <c r="G21" s="15" t="inlineStr">
        <is>
          <t>☐ Chưa duyệt</t>
        </is>
      </c>
      <c r="H21" s="16" t="n">
        <v>0</v>
      </c>
      <c r="I21" s="17" t="inlineStr"/>
    </row>
    <row r="22" ht="18" customHeight="1">
      <c r="A22" s="12" t="n">
        <v>17</v>
      </c>
      <c r="B22" s="13" t="inlineStr">
        <is>
          <t>Ô chọn màu ở thẻ sản phẩm</t>
        </is>
      </c>
      <c r="C22" s="13" t="inlineStr">
        <is>
          <t>swatch-option</t>
        </is>
      </c>
      <c r="D22" s="12" t="inlineStr">
        <is>
          <t>✓ Có</t>
        </is>
      </c>
      <c r="E22" s="12" t="inlineStr">
        <is>
          <t>✓ Có</t>
        </is>
      </c>
      <c r="F22" s="14" t="n">
        <v>46259</v>
      </c>
      <c r="G22" s="15" t="inlineStr">
        <is>
          <t>☐ Chưa duyệt</t>
        </is>
      </c>
      <c r="H22" s="16" t="n">
        <v>0</v>
      </c>
      <c r="I22" s="17" t="inlineStr"/>
    </row>
    <row r="23" ht="18" customHeight="1">
      <c r="A23" s="12" t="n">
        <v>18</v>
      </c>
      <c r="B23" s="13" t="inlineStr">
        <is>
          <t>Giá gốc / giá giảm / chip −%</t>
        </is>
      </c>
      <c r="C23" s="13" t="inlineStr">
        <is>
          <t>price-box</t>
        </is>
      </c>
      <c r="D23" s="12" t="inlineStr">
        <is>
          <t>✓ Có</t>
        </is>
      </c>
      <c r="E23" s="12" t="inlineStr">
        <is>
          <t>✓ Có</t>
        </is>
      </c>
      <c r="F23" s="14" t="n">
        <v>46268</v>
      </c>
      <c r="G23" s="15" t="inlineStr">
        <is>
          <t>☐ Chưa duyệt</t>
        </is>
      </c>
      <c r="H23" s="16" t="n">
        <v>0</v>
      </c>
      <c r="I23" s="17" t="inlineStr"/>
    </row>
    <row r="24" ht="18" customHeight="1">
      <c r="A24" s="12" t="n">
        <v>19</v>
      </c>
      <c r="B24" s="13" t="inlineStr">
        <is>
          <t>Thêm nhanh vào giỏ (nút trên thẻ)</t>
        </is>
      </c>
      <c r="C24" s="13" t="inlineStr">
        <is>
          <t>quick-add</t>
        </is>
      </c>
      <c r="D24" s="12" t="inlineStr">
        <is>
          <t>✓ Có</t>
        </is>
      </c>
      <c r="E24" s="12" t="inlineStr">
        <is>
          <t>✓ Có</t>
        </is>
      </c>
      <c r="F24" s="14" t="n">
        <v>46268</v>
      </c>
      <c r="G24" s="15" t="inlineStr">
        <is>
          <t>☐ Chưa duyệt</t>
        </is>
      </c>
      <c r="H24" s="16" t="n">
        <v>0</v>
      </c>
      <c r="I24" s="17" t="inlineStr"/>
    </row>
    <row r="25" ht="18" customHeight="1">
      <c r="A25" s="12" t="n">
        <v>20</v>
      </c>
      <c r="B25" s="13" t="inlineStr">
        <is>
          <t>Thanh công cụ PLP (sắp xếp · số SP)</t>
        </is>
      </c>
      <c r="C25" s="13" t="inlineStr">
        <is>
          <t>toolbar</t>
        </is>
      </c>
      <c r="D25" s="12" t="inlineStr">
        <is>
          <t>✓ Có</t>
        </is>
      </c>
      <c r="E25" s="12" t="inlineStr">
        <is>
          <t>✓ Có</t>
        </is>
      </c>
      <c r="F25" s="14" t="n">
        <v>46268</v>
      </c>
      <c r="G25" s="15" t="inlineStr">
        <is>
          <t>☐ Chưa duyệt</t>
        </is>
      </c>
      <c r="H25" s="16" t="n">
        <v>0</v>
      </c>
      <c r="I25" s="17" t="inlineStr"/>
    </row>
    <row r="26" ht="18" customHeight="1">
      <c r="A26" s="12" t="n">
        <v>21</v>
      </c>
      <c r="B26" s="13" t="inlineStr">
        <is>
          <t>Nút đổi mật độ lưới (1 / 2 cột)</t>
        </is>
      </c>
      <c r="C26" s="13" t="inlineStr">
        <is>
          <t>gridbtn</t>
        </is>
      </c>
      <c r="D26" s="12" t="inlineStr">
        <is>
          <t>✓ Có</t>
        </is>
      </c>
      <c r="E26" s="12" t="inlineStr">
        <is>
          <t>✓ Có</t>
        </is>
      </c>
      <c r="F26" s="14" t="n">
        <v>46268</v>
      </c>
      <c r="G26" s="15" t="inlineStr">
        <is>
          <t>☐ Chưa duyệt</t>
        </is>
      </c>
      <c r="H26" s="16" t="n">
        <v>0</v>
      </c>
      <c r="I26" s="17" t="inlineStr"/>
    </row>
    <row r="27" ht="18" customHeight="1">
      <c r="A27" s="12" t="n">
        <v>22</v>
      </c>
      <c r="B27" s="13" t="inlineStr">
        <is>
          <t>Chip bộ lọc đang chọn</t>
        </is>
      </c>
      <c r="C27" s="13" t="inlineStr">
        <is>
          <t>filter-chip</t>
        </is>
      </c>
      <c r="D27" s="12" t="inlineStr">
        <is>
          <t>✓ Có</t>
        </is>
      </c>
      <c r="E27" s="12" t="inlineStr">
        <is>
          <t>✓ Có</t>
        </is>
      </c>
      <c r="F27" s="14" t="n">
        <v>46262</v>
      </c>
      <c r="G27" s="15" t="inlineStr">
        <is>
          <t>☐ Chưa duyệt</t>
        </is>
      </c>
      <c r="H27" s="16" t="n">
        <v>0</v>
      </c>
      <c r="I27" s="17" t="inlineStr"/>
    </row>
    <row r="28" ht="18" customHeight="1">
      <c r="A28" s="12" t="n">
        <v>23</v>
      </c>
      <c r="B28" s="13" t="inlineStr">
        <is>
          <t>Nút “Xem thêm” + thanh tiến trình</t>
        </is>
      </c>
      <c r="C28" s="13" t="inlineStr">
        <is>
          <t>action more</t>
        </is>
      </c>
      <c r="D28" s="12" t="inlineStr">
        <is>
          <t>✓ Có</t>
        </is>
      </c>
      <c r="E28" s="12" t="inlineStr">
        <is>
          <t>✓ Có</t>
        </is>
      </c>
      <c r="F28" s="14" t="n">
        <v>46268</v>
      </c>
      <c r="G28" s="15" t="inlineStr">
        <is>
          <t>☐ Chưa duyệt</t>
        </is>
      </c>
      <c r="H28" s="16" t="n">
        <v>0</v>
      </c>
      <c r="I28" s="17" t="inlineStr"/>
    </row>
    <row r="29" ht="20" customHeight="1">
      <c r="A29" s="10" t="inlineStr">
        <is>
          <t>BỘ LỌC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</row>
    <row r="30" ht="18" customHeight="1">
      <c r="A30" s="12" t="n">
        <v>24</v>
      </c>
      <c r="B30" s="13" t="inlineStr">
        <is>
          <t>Panel bộ lọc (khung chung)</t>
        </is>
      </c>
      <c r="C30" s="13" t="inlineStr">
        <is>
          <t>filter panel</t>
        </is>
      </c>
      <c r="D30" s="12" t="inlineStr">
        <is>
          <t>✓ Có</t>
        </is>
      </c>
      <c r="E30" s="12" t="inlineStr">
        <is>
          <t>✓ Có</t>
        </is>
      </c>
      <c r="F30" s="14" t="n">
        <v>46268</v>
      </c>
      <c r="G30" s="15" t="inlineStr">
        <is>
          <t>☐ Chưa duyệt</t>
        </is>
      </c>
      <c r="H30" s="16" t="n">
        <v>0</v>
      </c>
      <c r="I30" s="17" t="inlineStr"/>
    </row>
    <row r="31" ht="18" customHeight="1">
      <c r="A31" s="12" t="n">
        <v>25</v>
      </c>
      <c r="B31" s="13" t="inlineStr">
        <is>
          <t>Cây danh mục 3 tầng (8/57/172)</t>
        </is>
      </c>
      <c r="C31" s="13" t="inlineStr">
        <is>
          <t>FILTER_CATS</t>
        </is>
      </c>
      <c r="D31" s="12" t="inlineStr">
        <is>
          <t>✓ Có</t>
        </is>
      </c>
      <c r="E31" s="12" t="inlineStr">
        <is>
          <t>✓ Có</t>
        </is>
      </c>
      <c r="F31" s="14" t="n">
        <v>46261</v>
      </c>
      <c r="G31" s="15" t="inlineStr">
        <is>
          <t>☐ Chưa duyệt</t>
        </is>
      </c>
      <c r="H31" s="16" t="n">
        <v>0</v>
      </c>
      <c r="I31" s="17" t="inlineStr"/>
    </row>
    <row r="32" ht="18" customHeight="1">
      <c r="A32" s="12" t="n">
        <v>26</v>
      </c>
      <c r="B32" s="13" t="inlineStr">
        <is>
          <t>Lọc màu (15 màu)</t>
        </is>
      </c>
      <c r="C32" s="13" t="inlineStr">
        <is>
          <t>color</t>
        </is>
      </c>
      <c r="D32" s="12" t="inlineStr">
        <is>
          <t>✓ Có</t>
        </is>
      </c>
      <c r="E32" s="12" t="inlineStr">
        <is>
          <t>✓ Có</t>
        </is>
      </c>
      <c r="F32" s="14" t="n">
        <v>46260</v>
      </c>
      <c r="G32" s="15" t="inlineStr">
        <is>
          <t>☐ Chưa duyệt</t>
        </is>
      </c>
      <c r="H32" s="16" t="n">
        <v>0</v>
      </c>
      <c r="I32" s="17" t="inlineStr"/>
    </row>
    <row r="33" ht="18" customHeight="1">
      <c r="A33" s="12" t="n">
        <v>27</v>
      </c>
      <c r="B33" s="13" t="inlineStr">
        <is>
          <t>Lọc kích cỡ</t>
        </is>
      </c>
      <c r="C33" s="13" t="inlineStr">
        <is>
          <t>size</t>
        </is>
      </c>
      <c r="D33" s="12" t="inlineStr">
        <is>
          <t>✓ Có</t>
        </is>
      </c>
      <c r="E33" s="12" t="inlineStr">
        <is>
          <t>✓ Có</t>
        </is>
      </c>
      <c r="F33" s="14" t="n">
        <v>46260</v>
      </c>
      <c r="G33" s="15" t="inlineStr">
        <is>
          <t>☐ Chưa duyệt</t>
        </is>
      </c>
      <c r="H33" s="16" t="n">
        <v>0</v>
      </c>
      <c r="I33" s="17" t="inlineStr"/>
    </row>
    <row r="34" ht="18" customHeight="1">
      <c r="A34" s="12" t="n">
        <v>28</v>
      </c>
      <c r="B34" s="13" t="inlineStr">
        <is>
          <t>Lọc thương hiệu (24 hãng + ô tìm)</t>
        </is>
      </c>
      <c r="C34" s="13" t="inlineStr">
        <is>
          <t>brand</t>
        </is>
      </c>
      <c r="D34" s="12" t="inlineStr">
        <is>
          <t>✓ Có</t>
        </is>
      </c>
      <c r="E34" s="12" t="inlineStr">
        <is>
          <t>✓ Có</t>
        </is>
      </c>
      <c r="F34" s="14" t="n">
        <v>46261</v>
      </c>
      <c r="G34" s="15" t="inlineStr">
        <is>
          <t>☐ Chưa duyệt</t>
        </is>
      </c>
      <c r="H34" s="16" t="n">
        <v>0</v>
      </c>
      <c r="I34" s="17" t="inlineStr"/>
    </row>
    <row r="35" ht="18" customHeight="1">
      <c r="A35" s="12" t="n">
        <v>29</v>
      </c>
      <c r="B35" s="13" t="inlineStr">
        <is>
          <t>Lọc khoảng giá</t>
        </is>
      </c>
      <c r="C35" s="13" t="inlineStr">
        <is>
          <t>price</t>
        </is>
      </c>
      <c r="D35" s="12" t="inlineStr">
        <is>
          <t>✓ Có</t>
        </is>
      </c>
      <c r="E35" s="12" t="inlineStr">
        <is>
          <t>✓ Có</t>
        </is>
      </c>
      <c r="F35" s="14" t="n">
        <v>46260</v>
      </c>
      <c r="G35" s="15" t="inlineStr">
        <is>
          <t>☐ Chưa duyệt</t>
        </is>
      </c>
      <c r="H35" s="16" t="n">
        <v>0</v>
      </c>
      <c r="I35" s="17" t="inlineStr"/>
    </row>
    <row r="36" ht="18" customHeight="1">
      <c r="A36" s="12" t="n">
        <v>30</v>
      </c>
      <c r="B36" s="13" t="inlineStr">
        <is>
          <t>Lọc ưu đãi</t>
        </is>
      </c>
      <c r="C36" s="13" t="inlineStr">
        <is>
          <t>promo</t>
        </is>
      </c>
      <c r="D36" s="12" t="inlineStr">
        <is>
          <t>✓ Có</t>
        </is>
      </c>
      <c r="E36" s="12" t="inlineStr">
        <is>
          <t>✓ Có</t>
        </is>
      </c>
      <c r="F36" s="14" t="n">
        <v>46253</v>
      </c>
      <c r="G36" s="15" t="inlineStr">
        <is>
          <t>☐ Chưa duyệt</t>
        </is>
      </c>
      <c r="H36" s="16" t="n">
        <v>0</v>
      </c>
      <c r="I36" s="17" t="inlineStr"/>
    </row>
    <row r="37" ht="18" customHeight="1">
      <c r="A37" s="12" t="n">
        <v>31</v>
      </c>
      <c r="B37" s="13" t="inlineStr">
        <is>
          <t>Lọc độ cao giày</t>
        </is>
      </c>
      <c r="C37" s="13" t="inlineStr">
        <is>
          <t>heel</t>
        </is>
      </c>
      <c r="D37" s="12" t="inlineStr">
        <is>
          <t>✓ Có</t>
        </is>
      </c>
      <c r="E37" s="12" t="inlineStr">
        <is>
          <t>✓ Có</t>
        </is>
      </c>
      <c r="F37" s="14" t="n">
        <v>46260</v>
      </c>
      <c r="G37" s="15" t="inlineStr">
        <is>
          <t>☐ Chưa duyệt</t>
        </is>
      </c>
      <c r="H37" s="16" t="n">
        <v>0</v>
      </c>
      <c r="I37" s="17" t="inlineStr"/>
    </row>
    <row r="38" ht="20" customHeight="1">
      <c r="A38" s="10" t="inlineStr">
        <is>
          <t>TRANG SẢN PHẨM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18" customHeight="1">
      <c r="A39" s="12" t="n">
        <v>32</v>
      </c>
      <c r="B39" s="13" t="inlineStr">
        <is>
          <t>Bộ ảnh sản phẩm + xem phóng to</t>
        </is>
      </c>
      <c r="C39" s="13" t="inlineStr">
        <is>
          <t>product-media</t>
        </is>
      </c>
      <c r="D39" s="12" t="inlineStr">
        <is>
          <t>✓ Có</t>
        </is>
      </c>
      <c r="E39" s="12" t="inlineStr">
        <is>
          <t>✓ Có</t>
        </is>
      </c>
      <c r="F39" s="14" t="n">
        <v>46262</v>
      </c>
      <c r="G39" s="15" t="inlineStr">
        <is>
          <t>☐ Chưa duyệt</t>
        </is>
      </c>
      <c r="H39" s="16" t="n">
        <v>0</v>
      </c>
      <c r="I39" s="17" t="inlineStr"/>
    </row>
    <row r="40" ht="18" customHeight="1">
      <c r="A40" s="12" t="n">
        <v>33</v>
      </c>
      <c r="B40" s="13" t="inlineStr">
        <is>
          <t>Chọn kích cỡ dạng chip</t>
        </is>
      </c>
      <c r="C40" s="13" t="inlineStr">
        <is>
          <t>swatch-option · size</t>
        </is>
      </c>
      <c r="D40" s="12" t="inlineStr">
        <is>
          <t>✓ Có</t>
        </is>
      </c>
      <c r="E40" s="12" t="inlineStr">
        <is>
          <t>✓ Có</t>
        </is>
      </c>
      <c r="F40" s="14" t="n">
        <v>46269</v>
      </c>
      <c r="G40" s="15" t="inlineStr">
        <is>
          <t>☐ Chưa duyệt</t>
        </is>
      </c>
      <c r="H40" s="16" t="n">
        <v>0</v>
      </c>
      <c r="I40" s="17" t="inlineStr"/>
    </row>
    <row r="41" ht="18" customHeight="1">
      <c r="A41" s="12" t="n">
        <v>34</v>
      </c>
      <c r="B41" s="13" t="inlineStr">
        <is>
          <t>Nút “Bảng kích thước”</t>
        </is>
      </c>
      <c r="C41" s="13" t="inlineStr">
        <is>
          <t>size-chart</t>
        </is>
      </c>
      <c r="D41" s="12" t="inlineStr">
        <is>
          <t>✓ Có</t>
        </is>
      </c>
      <c r="E41" s="12" t="inlineStr">
        <is>
          <t>✓ Có</t>
        </is>
      </c>
      <c r="F41" s="14" t="n">
        <v>46268</v>
      </c>
      <c r="G41" s="15" t="inlineStr">
        <is>
          <t>☐ Chưa duyệt</t>
        </is>
      </c>
      <c r="H41" s="16" t="n">
        <v>0</v>
      </c>
      <c r="I41" s="17" t="inlineStr"/>
    </row>
    <row r="42" ht="18" customHeight="1">
      <c r="A42" s="12" t="n">
        <v>35</v>
      </c>
      <c r="B42" s="13" t="inlineStr">
        <is>
          <t>Khối mô tả dạng đóng/mở</t>
        </is>
      </c>
      <c r="C42" s="13" t="inlineStr">
        <is>
          <t>collapsible</t>
        </is>
      </c>
      <c r="D42" s="12" t="inlineStr">
        <is>
          <t>✓ Có</t>
        </is>
      </c>
      <c r="E42" s="12" t="inlineStr">
        <is>
          <t>✓ Có</t>
        </is>
      </c>
      <c r="F42" s="14" t="n">
        <v>46253</v>
      </c>
      <c r="G42" s="15" t="inlineStr">
        <is>
          <t>☐ Chưa duyệt</t>
        </is>
      </c>
      <c r="H42" s="16" t="n">
        <v>0</v>
      </c>
      <c r="I42" s="17" t="inlineStr"/>
    </row>
    <row r="43" ht="18" customHeight="1">
      <c r="A43" s="12" t="n">
        <v>36</v>
      </c>
      <c r="B43" s="13" t="inlineStr">
        <is>
          <t>Khối ưu đãi khuyến mãi</t>
        </is>
      </c>
      <c r="C43" s="13" t="inlineStr">
        <is>
          <t>promo block</t>
        </is>
      </c>
      <c r="D43" s="12" t="inlineStr">
        <is>
          <t>✓ Có</t>
        </is>
      </c>
      <c r="E43" s="12" t="inlineStr">
        <is>
          <t>✓ Có</t>
        </is>
      </c>
      <c r="F43" s="14" t="n">
        <v>46258</v>
      </c>
      <c r="G43" s="15" t="inlineStr">
        <is>
          <t>☐ Chưa duyệt</t>
        </is>
      </c>
      <c r="H43" s="16" t="n">
        <v>0</v>
      </c>
      <c r="I43" s="17" t="inlineStr"/>
    </row>
    <row r="44" ht="18" customHeight="1">
      <c r="A44" s="12" t="n">
        <v>37</v>
      </c>
      <c r="B44" s="13" t="inlineStr">
        <is>
          <t>Nút thêm vào giỏ + thanh dính đáy</t>
        </is>
      </c>
      <c r="C44" s="13" t="inlineStr">
        <is>
          <t>box-tocart</t>
        </is>
      </c>
      <c r="D44" s="12" t="inlineStr">
        <is>
          <t>✓ Có</t>
        </is>
      </c>
      <c r="E44" s="12" t="inlineStr">
        <is>
          <t>✓ Có</t>
        </is>
      </c>
      <c r="F44" s="14" t="n">
        <v>46265</v>
      </c>
      <c r="G44" s="15" t="inlineStr">
        <is>
          <t>☐ Chưa duyệt</t>
        </is>
      </c>
      <c r="H44" s="16" t="n">
        <v>0</v>
      </c>
      <c r="I44" s="17" t="inlineStr"/>
    </row>
    <row r="45" ht="18" customHeight="1">
      <c r="A45" s="12" t="n">
        <v>38</v>
      </c>
      <c r="B45" s="13" t="inlineStr">
        <is>
          <t>Dòng trả góp dưới nút mua</t>
        </is>
      </c>
      <c r="C45" s="13" t="inlineStr">
        <is>
          <t>installment</t>
        </is>
      </c>
      <c r="D45" s="12" t="inlineStr">
        <is>
          <t>✓ Có</t>
        </is>
      </c>
      <c r="E45" s="12" t="inlineStr">
        <is>
          <t>✓ Có</t>
        </is>
      </c>
      <c r="F45" s="14" t="n">
        <v>46252</v>
      </c>
      <c r="G45" s="15" t="inlineStr">
        <is>
          <t>☐ Chưa duyệt</t>
        </is>
      </c>
      <c r="H45" s="16" t="n">
        <v>0</v>
      </c>
      <c r="I45" s="17" t="inlineStr"/>
    </row>
    <row r="46" ht="18" customHeight="1">
      <c r="A46" s="12" t="n">
        <v>39</v>
      </c>
      <c r="B46" s="13" t="inlineStr">
        <is>
          <t>Dải “Sản phẩm tương tự” (carousel)</t>
        </is>
      </c>
      <c r="C46" s="13" t="inlineStr">
        <is>
          <t>rail</t>
        </is>
      </c>
      <c r="D46" s="12" t="inlineStr">
        <is>
          <t>✓ Có</t>
        </is>
      </c>
      <c r="E46" s="12" t="inlineStr">
        <is>
          <t>✓ Có</t>
        </is>
      </c>
      <c r="F46" s="14" t="n">
        <v>46268</v>
      </c>
      <c r="G46" s="15" t="inlineStr">
        <is>
          <t>☐ Chưa duyệt</t>
        </is>
      </c>
      <c r="H46" s="16" t="n">
        <v>0</v>
      </c>
      <c r="I46" s="17" t="inlineStr"/>
    </row>
    <row r="47" ht="18" customHeight="1">
      <c r="A47" s="12" t="n">
        <v>40</v>
      </c>
      <c r="B47" s="13" t="inlineStr">
        <is>
          <t>Khối “Gợi ý mua kèm”</t>
        </is>
      </c>
      <c r="C47" s="13" t="inlineStr">
        <is>
          <t>dkLookSection</t>
        </is>
      </c>
      <c r="D47" s="12" t="inlineStr">
        <is>
          <t>— Không áp dụng</t>
        </is>
      </c>
      <c r="E47" s="12" t="inlineStr">
        <is>
          <t>✓ Có</t>
        </is>
      </c>
      <c r="F47" s="14" t="n">
        <v>46267</v>
      </c>
      <c r="G47" s="15" t="inlineStr">
        <is>
          <t>☐ Chưa duyệt</t>
        </is>
      </c>
      <c r="H47" s="16" t="n">
        <v>0</v>
      </c>
      <c r="I47" s="17" t="inlineStr"/>
    </row>
    <row r="48" ht="20" customHeight="1">
      <c r="A48" s="10" t="inlineStr">
        <is>
          <t>GIỎ HÀNG &amp; THANH TOÁN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</row>
    <row r="49" ht="18" customHeight="1">
      <c r="A49" s="12" t="n">
        <v>41</v>
      </c>
      <c r="B49" s="13" t="inlineStr">
        <is>
          <t>Hàng sản phẩm trong giỏ</t>
        </is>
      </c>
      <c r="C49" s="13" t="inlineStr">
        <is>
          <t>dafc-cart-row</t>
        </is>
      </c>
      <c r="D49" s="12" t="inlineStr">
        <is>
          <t>✓ Có</t>
        </is>
      </c>
      <c r="E49" s="12" t="inlineStr">
        <is>
          <t>✓ Có</t>
        </is>
      </c>
      <c r="F49" s="14" t="n">
        <v>46258</v>
      </c>
      <c r="G49" s="15" t="inlineStr">
        <is>
          <t>☐ Chưa duyệt</t>
        </is>
      </c>
      <c r="H49" s="16" t="n">
        <v>0</v>
      </c>
      <c r="I49" s="17" t="inlineStr"/>
    </row>
    <row r="50" ht="18" customHeight="1">
      <c r="A50" s="12" t="n">
        <v>42</v>
      </c>
      <c r="B50" s="13" t="inlineStr">
        <is>
          <t>Bộ tăng giảm số lượng</t>
        </is>
      </c>
      <c r="C50" s="13" t="inlineStr">
        <is>
          <t>quantity-stepper</t>
        </is>
      </c>
      <c r="D50" s="12" t="inlineStr">
        <is>
          <t>✓ Có</t>
        </is>
      </c>
      <c r="E50" s="12" t="inlineStr">
        <is>
          <t>✓ Có</t>
        </is>
      </c>
      <c r="F50" s="14" t="n">
        <v>46254</v>
      </c>
      <c r="G50" s="15" t="inlineStr">
        <is>
          <t>☐ Chưa duyệt</t>
        </is>
      </c>
      <c r="H50" s="16" t="n">
        <v>0</v>
      </c>
      <c r="I50" s="17" t="inlineStr"/>
    </row>
    <row r="51" ht="18" customHeight="1">
      <c r="A51" s="12" t="n">
        <v>43</v>
      </c>
      <c r="B51" s="13" t="inlineStr">
        <is>
          <t>Khối quà tặng theo chương trình</t>
        </is>
      </c>
      <c r="C51" s="13" t="inlineStr">
        <is>
          <t>dafc-cart-gift</t>
        </is>
      </c>
      <c r="D51" s="12" t="inlineStr">
        <is>
          <t>✓ Có</t>
        </is>
      </c>
      <c r="E51" s="12" t="inlineStr">
        <is>
          <t>✓ Có</t>
        </is>
      </c>
      <c r="F51" s="14" t="n">
        <v>46265</v>
      </c>
      <c r="G51" s="15" t="inlineStr">
        <is>
          <t>☐ Chưa duyệt</t>
        </is>
      </c>
      <c r="H51" s="16" t="n">
        <v>0</v>
      </c>
      <c r="I51" s="17" t="inlineStr"/>
    </row>
    <row r="52" ht="18" customHeight="1">
      <c r="A52" s="12" t="n">
        <v>44</v>
      </c>
      <c r="B52" s="13" t="inlineStr">
        <is>
          <t>Ô chọn mã ưu đãi</t>
        </is>
      </c>
      <c r="C52" s="13" t="inlineStr">
        <is>
          <t>pickField</t>
        </is>
      </c>
      <c r="D52" s="12" t="inlineStr">
        <is>
          <t>✓ Có</t>
        </is>
      </c>
      <c r="E52" s="12" t="inlineStr">
        <is>
          <t>✓ Có</t>
        </is>
      </c>
      <c r="F52" s="14" t="n">
        <v>46258</v>
      </c>
      <c r="G52" s="15" t="inlineStr">
        <is>
          <t>☐ Chưa duyệt</t>
        </is>
      </c>
      <c r="H52" s="16" t="n">
        <v>0</v>
      </c>
      <c r="I52" s="17" t="inlineStr"/>
    </row>
    <row r="53" ht="18" customHeight="1">
      <c r="A53" s="12" t="n">
        <v>45</v>
      </c>
      <c r="B53" s="13" t="inlineStr">
        <is>
          <t>Khối tổng tiền / tóm tắt đơn</t>
        </is>
      </c>
      <c r="C53" s="13" t="inlineStr">
        <is>
          <t>cart-summary</t>
        </is>
      </c>
      <c r="D53" s="12" t="inlineStr">
        <is>
          <t>✓ Có</t>
        </is>
      </c>
      <c r="E53" s="12" t="inlineStr">
        <is>
          <t>✓ Có</t>
        </is>
      </c>
      <c r="F53" s="14" t="n">
        <v>46258</v>
      </c>
      <c r="G53" s="15" t="inlineStr">
        <is>
          <t>☐ Chưa duyệt</t>
        </is>
      </c>
      <c r="H53" s="16" t="n">
        <v>0</v>
      </c>
      <c r="I53" s="17" t="inlineStr"/>
    </row>
    <row r="54" ht="18" customHeight="1">
      <c r="A54" s="12" t="n">
        <v>46</v>
      </c>
      <c r="B54" s="13" t="inlineStr">
        <is>
          <t>Giỏ thu gọn khi rê chuột (mini cart)</t>
        </is>
      </c>
      <c r="C54" s="13" t="inlineStr">
        <is>
          <t>minicart</t>
        </is>
      </c>
      <c r="D54" s="12" t="inlineStr">
        <is>
          <t>— Không áp dụng</t>
        </is>
      </c>
      <c r="E54" s="12" t="inlineStr">
        <is>
          <t>✓ Có</t>
        </is>
      </c>
      <c r="F54" s="14" t="n">
        <v>46268</v>
      </c>
      <c r="G54" s="15" t="inlineStr">
        <is>
          <t>☐ Chưa duyệt</t>
        </is>
      </c>
      <c r="H54" s="16" t="n">
        <v>0</v>
      </c>
      <c r="I54" s="17" t="inlineStr"/>
    </row>
    <row r="55" ht="18" customHeight="1">
      <c r="A55" s="12" t="n">
        <v>47</v>
      </c>
      <c r="B55" s="13" t="inlineStr">
        <is>
          <t>Bảng “Đã thêm vào giỏ hàng”</t>
        </is>
      </c>
      <c r="C55" s="13" t="inlineStr">
        <is>
          <t>#cartConfirm</t>
        </is>
      </c>
      <c r="D55" s="12" t="inlineStr">
        <is>
          <t>✓ Có</t>
        </is>
      </c>
      <c r="E55" s="12" t="inlineStr">
        <is>
          <t>✓ Có</t>
        </is>
      </c>
      <c r="F55" s="14" t="n">
        <v>46268</v>
      </c>
      <c r="G55" s="15" t="inlineStr">
        <is>
          <t>☐ Chưa duyệt</t>
        </is>
      </c>
      <c r="H55" s="16" t="n">
        <v>0</v>
      </c>
      <c r="I55" s="17" t="inlineStr"/>
    </row>
    <row r="56" ht="18" customHeight="1">
      <c r="A56" s="12" t="n">
        <v>48</v>
      </c>
      <c r="B56" s="13" t="inlineStr">
        <is>
          <t>3 bước thanh toán (vận chuyển · giao · trả)</t>
        </is>
      </c>
      <c r="C56" s="13" t="inlineStr">
        <is>
          <t>checkout steps</t>
        </is>
      </c>
      <c r="D56" s="12" t="inlineStr">
        <is>
          <t>✓ Có</t>
        </is>
      </c>
      <c r="E56" s="12" t="inlineStr">
        <is>
          <t>✓ Có</t>
        </is>
      </c>
      <c r="F56" s="14" t="n">
        <v>46255</v>
      </c>
      <c r="G56" s="15" t="inlineStr">
        <is>
          <t>☐ Chưa duyệt</t>
        </is>
      </c>
      <c r="H56" s="16" t="n">
        <v>0</v>
      </c>
      <c r="I56" s="17" t="inlineStr"/>
    </row>
    <row r="57" ht="18" customHeight="1">
      <c r="A57" s="12" t="n">
        <v>49</v>
      </c>
      <c r="B57" s="13" t="inlineStr">
        <is>
          <t>Nhận tại cửa hàng</t>
        </is>
      </c>
      <c r="C57" s="13" t="inlineStr">
        <is>
          <t>store pickup</t>
        </is>
      </c>
      <c r="D57" s="12" t="inlineStr">
        <is>
          <t>✓ Có</t>
        </is>
      </c>
      <c r="E57" s="12" t="inlineStr">
        <is>
          <t>✓ Có</t>
        </is>
      </c>
      <c r="F57" s="14" t="n">
        <v>46245</v>
      </c>
      <c r="G57" s="15" t="inlineStr">
        <is>
          <t>☐ Chưa duyệt</t>
        </is>
      </c>
      <c r="H57" s="16" t="n">
        <v>0</v>
      </c>
      <c r="I57" s="17" t="inlineStr"/>
    </row>
    <row r="58" ht="18" customHeight="1">
      <c r="A58" s="12" t="n">
        <v>50</v>
      </c>
      <c r="B58" s="13" t="inlineStr">
        <is>
          <t>Logo đối tác thanh toán</t>
        </is>
      </c>
      <c r="C58" s="13" t="inlineStr">
        <is>
          <t>payment logos</t>
        </is>
      </c>
      <c r="D58" s="12" t="inlineStr">
        <is>
          <t>✓ Có</t>
        </is>
      </c>
      <c r="E58" s="12" t="inlineStr">
        <is>
          <t>✓ Có</t>
        </is>
      </c>
      <c r="F58" s="14" t="n">
        <v>46245</v>
      </c>
      <c r="G58" s="15" t="inlineStr">
        <is>
          <t>☐ Chưa duyệt</t>
        </is>
      </c>
      <c r="H58" s="16" t="n">
        <v>0</v>
      </c>
      <c r="I58" s="17" t="inlineStr"/>
    </row>
    <row r="59" ht="20" customHeight="1">
      <c r="A59" s="10" t="inlineStr">
        <is>
          <t>LỚP NỔI &amp; PHẢN HỒI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</row>
    <row r="60" ht="18" customHeight="1">
      <c r="A60" s="12" t="n">
        <v>51</v>
      </c>
      <c r="B60" s="13" t="inlineStr">
        <is>
          <t>Bảng thêm nhanh (quick add)</t>
        </is>
      </c>
      <c r="C60" s="13" t="inlineStr">
        <is>
          <t>#quickAddSheet</t>
        </is>
      </c>
      <c r="D60" s="12" t="inlineStr">
        <is>
          <t>✓ Có</t>
        </is>
      </c>
      <c r="E60" s="12" t="inlineStr">
        <is>
          <t>✓ Có</t>
        </is>
      </c>
      <c r="F60" s="14" t="n">
        <v>46268</v>
      </c>
      <c r="G60" s="15" t="inlineStr">
        <is>
          <t>☐ Chưa duyệt</t>
        </is>
      </c>
      <c r="H60" s="16" t="n">
        <v>0</v>
      </c>
      <c r="I60" s="17" t="inlineStr"/>
    </row>
    <row r="61" ht="18" customHeight="1">
      <c r="A61" s="12" t="n">
        <v>52</v>
      </c>
      <c r="B61" s="13" t="inlineStr">
        <is>
          <t>Bảng chọn kích cỡ</t>
        </is>
      </c>
      <c r="C61" s="13" t="inlineStr">
        <is>
          <t>#sizeSheet</t>
        </is>
      </c>
      <c r="D61" s="12" t="inlineStr">
        <is>
          <t>✓ Có</t>
        </is>
      </c>
      <c r="E61" s="12" t="inlineStr">
        <is>
          <t>✓ Có</t>
        </is>
      </c>
      <c r="F61" s="14" t="n">
        <v>46262</v>
      </c>
      <c r="G61" s="15" t="inlineStr">
        <is>
          <t>☐ Chưa duyệt</t>
        </is>
      </c>
      <c r="H61" s="16" t="n">
        <v>0</v>
      </c>
      <c r="I61" s="17" t="inlineStr"/>
    </row>
    <row r="62" ht="18" customHeight="1">
      <c r="A62" s="12" t="n">
        <v>53</v>
      </c>
      <c r="B62" s="13" t="inlineStr">
        <is>
          <t>Thông báo cookie</t>
        </is>
      </c>
      <c r="C62" s="13" t="inlineStr">
        <is>
          <t>cookie consent</t>
        </is>
      </c>
      <c r="D62" s="12" t="inlineStr">
        <is>
          <t>✓ Có</t>
        </is>
      </c>
      <c r="E62" s="12" t="inlineStr">
        <is>
          <t>✓ Có</t>
        </is>
      </c>
      <c r="F62" s="14" t="n">
        <v>46254</v>
      </c>
      <c r="G62" s="15" t="inlineStr">
        <is>
          <t>☐ Chưa duyệt</t>
        </is>
      </c>
      <c r="H62" s="16" t="n">
        <v>0</v>
      </c>
      <c r="I62" s="17" t="inlineStr"/>
    </row>
    <row r="63" ht="18" customHeight="1">
      <c r="A63" s="12" t="n">
        <v>54</v>
      </c>
      <c r="B63" s="13" t="inlineStr">
        <is>
          <t>Thông báo nổi (toast)</t>
        </is>
      </c>
      <c r="C63" s="13" t="inlineStr">
        <is>
          <t>toast</t>
        </is>
      </c>
      <c r="D63" s="12" t="inlineStr">
        <is>
          <t>✓ Có</t>
        </is>
      </c>
      <c r="E63" s="12" t="inlineStr">
        <is>
          <t>✓ Có</t>
        </is>
      </c>
      <c r="F63" s="14" t="n">
        <v>46253</v>
      </c>
      <c r="G63" s="15" t="inlineStr">
        <is>
          <t>☐ Chưa duyệt</t>
        </is>
      </c>
      <c r="H63" s="16" t="n">
        <v>0</v>
      </c>
      <c r="I63" s="17" t="inlineStr"/>
    </row>
    <row r="64" ht="18" customHeight="1">
      <c r="A64" s="12" t="n">
        <v>55</v>
      </c>
      <c r="B64" s="13" t="inlineStr">
        <is>
          <t>Báo lỗi ngay tại ô nhập</t>
        </is>
      </c>
      <c r="C64" s="13" t="inlineStr">
        <is>
          <t>inline error</t>
        </is>
      </c>
      <c r="D64" s="12" t="inlineStr">
        <is>
          <t>✓ Có</t>
        </is>
      </c>
      <c r="E64" s="12" t="inlineStr">
        <is>
          <t>✓ Có</t>
        </is>
      </c>
      <c r="F64" s="14" t="n">
        <v>46253</v>
      </c>
      <c r="G64" s="15" t="inlineStr">
        <is>
          <t>☐ Chưa duyệt</t>
        </is>
      </c>
      <c r="H64" s="16" t="n">
        <v>0</v>
      </c>
      <c r="I64" s="17" t="inlineStr"/>
    </row>
    <row r="65" ht="18" customHeight="1">
      <c r="A65" s="12" t="n">
        <v>56</v>
      </c>
      <c r="B65" s="13" t="inlineStr">
        <is>
          <t>Khuôn chung mọi lớp nổi (viền 1px, không đổ bóng)</t>
        </is>
      </c>
      <c r="C65" s="13" t="inlineStr">
        <is>
          <t>modal-content</t>
        </is>
      </c>
      <c r="D65" s="12" t="inlineStr">
        <is>
          <t>✓ Có</t>
        </is>
      </c>
      <c r="E65" s="12" t="inlineStr">
        <is>
          <t>✓ Có</t>
        </is>
      </c>
      <c r="F65" s="14" t="n">
        <v>46251</v>
      </c>
      <c r="G65" s="15" t="inlineStr">
        <is>
          <t>☐ Chưa duyệt</t>
        </is>
      </c>
      <c r="H65" s="16" t="n">
        <v>0</v>
      </c>
      <c r="I65" s="17" t="inlineStr"/>
    </row>
    <row r="66" ht="20" customHeight="1">
      <c r="A66" s="10" t="inlineStr">
        <is>
          <t>HỆ THỐNG THIẾT KẾ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</row>
    <row r="67" ht="18" customHeight="1">
      <c r="A67" s="12" t="n">
        <v>57</v>
      </c>
      <c r="B67" s="13" t="inlineStr">
        <is>
          <t>Bộ biến thiết kế (design token)</t>
        </is>
      </c>
      <c r="C67" s="13" t="inlineStr">
        <is>
          <t>tokens07.json</t>
        </is>
      </c>
      <c r="D67" s="12" t="inlineStr">
        <is>
          <t>✓ Có</t>
        </is>
      </c>
      <c r="E67" s="12" t="inlineStr">
        <is>
          <t>✓ Có</t>
        </is>
      </c>
      <c r="F67" s="14" t="n">
        <v>46254</v>
      </c>
      <c r="G67" s="15" t="inlineStr">
        <is>
          <t>☐ Chưa duyệt</t>
        </is>
      </c>
      <c r="H67" s="16" t="n">
        <v>0</v>
      </c>
      <c r="I67" s="17" t="inlineStr"/>
    </row>
    <row r="68" ht="18" customHeight="1">
      <c r="A68" s="12" t="n">
        <v>58</v>
      </c>
      <c r="B68" s="13" t="inlineStr">
        <is>
          <t>Thang chữ 12/14/16/18/24/32/48</t>
        </is>
      </c>
      <c r="C68" s="13" t="inlineStr">
        <is>
          <t>text styles</t>
        </is>
      </c>
      <c r="D68" s="12" t="inlineStr">
        <is>
          <t>✓ Có</t>
        </is>
      </c>
      <c r="E68" s="12" t="inlineStr">
        <is>
          <t>✓ Có</t>
        </is>
      </c>
      <c r="F68" s="14" t="n">
        <v>46268</v>
      </c>
      <c r="G68" s="15" t="inlineStr">
        <is>
          <t>☐ Chưa duyệt</t>
        </is>
      </c>
      <c r="H68" s="16" t="n">
        <v>0</v>
      </c>
      <c r="I68" s="17" t="inlineStr"/>
    </row>
    <row r="69" ht="18" customHeight="1">
      <c r="A69" s="12" t="n">
        <v>59</v>
      </c>
      <c r="B69" s="13" t="inlineStr">
        <is>
          <t>Bộ font Libre Bodoni + Inter (khách chốt 25/08)</t>
        </is>
      </c>
      <c r="C69" s="13" t="inlineStr">
        <is>
          <t>skin-li</t>
        </is>
      </c>
      <c r="D69" s="12" t="inlineStr">
        <is>
          <t>✓ Có</t>
        </is>
      </c>
      <c r="E69" s="12" t="inlineStr">
        <is>
          <t>✓ Có</t>
        </is>
      </c>
      <c r="F69" s="14" t="n">
        <v>46268</v>
      </c>
      <c r="G69" s="15" t="inlineStr">
        <is>
          <t>☐ Chưa duyệt</t>
        </is>
      </c>
      <c r="H69" s="16" t="n">
        <v>0</v>
      </c>
      <c r="I69" s="17" t="inlineStr"/>
    </row>
    <row r="70" ht="18" customHeight="1">
      <c r="A70" s="12" t="n">
        <v>60</v>
      </c>
      <c r="B70" s="13" t="inlineStr">
        <is>
          <t>Song ngữ Việt / Anh</t>
        </is>
      </c>
      <c r="C70" s="13" t="inlineStr">
        <is>
          <t>I18N</t>
        </is>
      </c>
      <c r="D70" s="12" t="inlineStr">
        <is>
          <t>✓ Có</t>
        </is>
      </c>
      <c r="E70" s="12" t="inlineStr">
        <is>
          <t>✓ Có</t>
        </is>
      </c>
      <c r="F70" s="14" t="n">
        <v>46268</v>
      </c>
      <c r="G70" s="15" t="inlineStr">
        <is>
          <t>☐ Chưa duyệt</t>
        </is>
      </c>
      <c r="H70" s="16" t="n">
        <v>0</v>
      </c>
      <c r="I70" s="17" t="inlineStr"/>
    </row>
    <row r="71" ht="18" customHeight="1">
      <c r="A71" s="12" t="n">
        <v>61</v>
      </c>
      <c r="B71" s="13" t="inlineStr">
        <is>
          <t>Cầu nối mobile ↔ desktop tại 768px</t>
        </is>
      </c>
      <c r="C71" s="13" t="inlineStr">
        <is>
          <t>responsive bridge</t>
        </is>
      </c>
      <c r="D71" s="12" t="inlineStr">
        <is>
          <t>✓ Có</t>
        </is>
      </c>
      <c r="E71" s="12" t="inlineStr">
        <is>
          <t>✓ Có</t>
        </is>
      </c>
      <c r="F71" s="14" t="n">
        <v>46244</v>
      </c>
      <c r="G71" s="15" t="inlineStr">
        <is>
          <t>☐ Chưa duyệt</t>
        </is>
      </c>
      <c r="H71" s="16" t="n">
        <v>0</v>
      </c>
      <c r="I71" s="17" t="inlineStr"/>
    </row>
  </sheetData>
  <autoFilter ref="A3:I71"/>
  <conditionalFormatting sqref="G4:G71">
    <cfRule type="expression" priority="1" dxfId="0" stopIfTrue="0">
      <formula>ISNUMBER(SEARCH("Đạt",G4))</formula>
    </cfRule>
    <cfRule type="expression" priority="2" dxfId="1" stopIfTrue="0">
      <formula>ISNUMBER(SEARCH("Cần chỉnh",G4))</formula>
    </cfRule>
    <cfRule type="expression" priority="3" dxfId="2" stopIfTrue="0">
      <formula>ISNUMBER(SEARCH("Không áp dụng",G4))</formula>
    </cfRule>
  </conditionalFormatting>
  <dataValidations count="1">
    <dataValidation sqref="G4:G71" showDropDown="0" showInputMessage="1" showErrorMessage="1" allowBlank="1" errorTitle="Giá trị không hợp lệ" error="Chọn một giá trị trong danh sách." promptTitle="Khách duyệt" prompt="Chọn trạng thái nghiệm thu" type="list">
      <formula1>"☐ Chưa duyệt,☑ Đạt,✎ Cần chỉnh sửa,— Không áp dụng"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42" customWidth="1" min="4" max="4"/>
    <col width="44" customWidth="1" min="5" max="5"/>
    <col width="13" customWidth="1" min="6" max="6"/>
    <col width="17" customWidth="1" min="7" max="7"/>
    <col width="11" customWidth="1" min="8" max="8"/>
    <col width="48" customWidth="1" min="9" max="9"/>
  </cols>
  <sheetData>
    <row r="1">
      <c r="A1" s="1" t="inlineStr">
        <is>
          <t>Bảng 3 — Các phiên bản bàn giao</t>
        </is>
      </c>
    </row>
    <row r="2">
      <c r="A2" s="2" t="inlineStr">
        <is>
          <t>3 bản thử chỉ để so sánh hướng giao diện; nếu không nghiệm thu, chọn “— Không áp dụng”.</t>
        </is>
      </c>
    </row>
    <row r="3" ht="30" customHeight="1">
      <c r="A3" s="9" t="inlineStr">
        <is>
          <t>STT</t>
        </is>
      </c>
      <c r="B3" s="9" t="inlineStr">
        <is>
          <t>Tên file</t>
        </is>
      </c>
      <c r="C3" s="9" t="inlineStr">
        <is>
          <t>Vai trò</t>
        </is>
      </c>
      <c r="D3" s="9" t="inlineStr">
        <is>
          <t>Phạm vi hiển thị</t>
        </is>
      </c>
      <c r="E3" s="9" t="inlineStr">
        <is>
          <t>Tình trạng</t>
        </is>
      </c>
      <c r="F3" s="9" t="inlineStr">
        <is>
          <t>Cập nhật
gần nhất</t>
        </is>
      </c>
      <c r="G3" s="9" t="inlineStr">
        <is>
          <t>Khách duyệt</t>
        </is>
      </c>
      <c r="H3" s="9" t="inlineStr">
        <is>
          <t>Số lần
chỉnh sửa</t>
        </is>
      </c>
      <c r="I3" s="9" t="inlineStr">
        <is>
          <t>Ghi chú / yêu cầu chỉnh sửa</t>
        </is>
      </c>
    </row>
    <row r="4" ht="20" customHeight="1">
      <c r="A4" s="10" t="inlineStr">
        <is>
          <t>BẢN CHÍNH — dùng để nghiệm thu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</row>
    <row r="5" ht="18" customHeight="1">
      <c r="A5" s="12" t="n">
        <v>1</v>
      </c>
      <c r="B5" s="13" t="inlineStr">
        <is>
          <t>index.html</t>
        </is>
      </c>
      <c r="C5" s="13" t="inlineStr">
        <is>
          <t>Bản mobile</t>
        </is>
      </c>
      <c r="D5" s="13" t="inlineStr">
        <is>
          <t>Dưới 768px, thiết kế theo khổ 360–412px</t>
        </is>
      </c>
      <c r="E5" s="13" t="inlineStr">
        <is>
          <t>Đang cập nhật</t>
        </is>
      </c>
      <c r="F5" s="14" t="n">
        <v>46269</v>
      </c>
      <c r="G5" s="15" t="inlineStr">
        <is>
          <t>☐ Chưa duyệt</t>
        </is>
      </c>
      <c r="H5" s="16" t="n">
        <v>0</v>
      </c>
      <c r="I5" s="17" t="inlineStr"/>
    </row>
    <row r="6" ht="18" customHeight="1">
      <c r="A6" s="12" t="n">
        <v>2</v>
      </c>
      <c r="B6" s="13" t="inlineStr">
        <is>
          <t>desktop.html</t>
        </is>
      </c>
      <c r="C6" s="13" t="inlineStr">
        <is>
          <t>Bản desktop</t>
        </is>
      </c>
      <c r="D6" s="13" t="inlineStr">
        <is>
          <t>Từ 768px trở lên, nội dung bó trong 1440px</t>
        </is>
      </c>
      <c r="E6" s="13" t="inlineStr">
        <is>
          <t>Đang cập nhật</t>
        </is>
      </c>
      <c r="F6" s="14" t="n">
        <v>46269</v>
      </c>
      <c r="G6" s="15" t="inlineStr">
        <is>
          <t>☐ Chưa duyệt</t>
        </is>
      </c>
      <c r="H6" s="16" t="n">
        <v>0</v>
      </c>
      <c r="I6" s="17" t="inlineStr"/>
    </row>
    <row r="7" ht="18" customHeight="1">
      <c r="A7" s="12" t="n">
        <v>3</v>
      </c>
      <c r="B7" s="13" t="inlineStr">
        <is>
          <t>home.html</t>
        </is>
      </c>
      <c r="C7" s="13" t="inlineStr">
        <is>
          <t>Trang chủ 3 ngành</t>
        </is>
      </c>
      <c r="D7" s="13" t="inlineStr">
        <is>
          <t>Một file gồm 3 màn: Nam · Nữ · Làm đẹp</t>
        </is>
      </c>
      <c r="E7" s="13" t="inlineStr">
        <is>
          <t>Đang cập nhật</t>
        </is>
      </c>
      <c r="F7" s="14" t="n">
        <v>46268</v>
      </c>
      <c r="G7" s="15" t="inlineStr">
        <is>
          <t>☐ Chưa duyệt</t>
        </is>
      </c>
      <c r="H7" s="16" t="n">
        <v>0</v>
      </c>
      <c r="I7" s="17" t="inlineStr"/>
    </row>
    <row r="8" ht="20" customHeight="1">
      <c r="A8" s="10" t="inlineStr">
        <is>
          <t>BẢN THỬ GIAO DIỆN — dừng cập nhật từ 21/08/2026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</row>
    <row r="9" ht="18" customHeight="1">
      <c r="A9" s="12" t="n">
        <v>4</v>
      </c>
      <c r="B9" s="13" t="inlineStr">
        <is>
          <t>desktop-neutral.html</t>
        </is>
      </c>
      <c r="C9" s="13" t="inlineStr">
        <is>
          <t>Phương án màu greige ấm</t>
        </is>
      </c>
      <c r="D9" s="13" t="inlineStr">
        <is>
          <t>Thử bảng màu trung tính</t>
        </is>
      </c>
      <c r="E9" s="13" t="inlineStr">
        <is>
          <t>Đóng băng — thiếu 12 hạng mục so với bản chính</t>
        </is>
      </c>
      <c r="F9" s="14" t="n">
        <v>46255</v>
      </c>
      <c r="G9" s="15" t="inlineStr">
        <is>
          <t>☐ Chưa duyệt</t>
        </is>
      </c>
      <c r="H9" s="16" t="n">
        <v>0</v>
      </c>
      <c r="I9" s="17" t="inlineStr"/>
    </row>
    <row r="10" ht="18" customHeight="1">
      <c r="A10" s="12" t="n">
        <v>5</v>
      </c>
      <c r="B10" s="13" t="inlineStr">
        <is>
          <t>desktop-editorial.html</t>
        </is>
      </c>
      <c r="C10" s="13" t="inlineStr">
        <is>
          <t>Phương án bố cục editorial</t>
        </is>
      </c>
      <c r="D10" s="13" t="inlineStr">
        <is>
          <t>Thử nhịp trang theo hướng tạp chí</t>
        </is>
      </c>
      <c r="E10" s="13" t="inlineStr">
        <is>
          <t>Đóng băng — thiếu 12 hạng mục so với bản chính</t>
        </is>
      </c>
      <c r="F10" s="14" t="n">
        <v>46255</v>
      </c>
      <c r="G10" s="15" t="inlineStr">
        <is>
          <t>☐ Chưa duyệt</t>
        </is>
      </c>
      <c r="H10" s="16" t="n">
        <v>0</v>
      </c>
      <c r="I10" s="17" t="inlineStr"/>
    </row>
    <row r="11" ht="18" customHeight="1">
      <c r="A11" s="12" t="n">
        <v>6</v>
      </c>
      <c r="B11" s="13" t="inlineStr">
        <is>
          <t>desktop-atelier.html</t>
        </is>
      </c>
      <c r="C11" s="13" t="inlineStr">
        <is>
          <t>Phương án atelier</t>
        </is>
      </c>
      <c r="D11" s="13" t="inlineStr">
        <is>
          <t>Thử bộ da thứ ba</t>
        </is>
      </c>
      <c r="E11" s="13" t="inlineStr">
        <is>
          <t>Đóng băng — thiếu 12 hạng mục so với bản chính</t>
        </is>
      </c>
      <c r="F11" s="14" t="n">
        <v>46255</v>
      </c>
      <c r="G11" s="15" t="inlineStr">
        <is>
          <t>☐ Chưa duyệt</t>
        </is>
      </c>
      <c r="H11" s="16" t="n">
        <v>0</v>
      </c>
      <c r="I11" s="17" t="inlineStr"/>
    </row>
  </sheetData>
  <autoFilter ref="A3:I11"/>
  <conditionalFormatting sqref="G4:G11">
    <cfRule type="expression" priority="1" dxfId="0" stopIfTrue="0">
      <formula>ISNUMBER(SEARCH("Đạt",G4))</formula>
    </cfRule>
    <cfRule type="expression" priority="2" dxfId="1" stopIfTrue="0">
      <formula>ISNUMBER(SEARCH("Cần chỉnh",G4))</formula>
    </cfRule>
    <cfRule type="expression" priority="3" dxfId="2" stopIfTrue="0">
      <formula>ISNUMBER(SEARCH("Không áp dụng",G4))</formula>
    </cfRule>
  </conditionalFormatting>
  <dataValidations count="1">
    <dataValidation sqref="G4:G11" showDropDown="0" showInputMessage="1" showErrorMessage="1" allowBlank="1" errorTitle="Giá trị không hợp lệ" error="Chọn một giá trị trong danh sách." promptTitle="Khách duyệt" prompt="Chọn trạng thái nghiệm thu" type="list">
      <formula1>"☐ Chưa duyệt,☑ Đạt,✎ Cần chỉnh sửa,— Không áp dụng"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24" customWidth="1" min="9" max="9"/>
  </cols>
  <sheetData>
    <row r="2">
      <c r="B2" s="1" t="inlineStr">
        <is>
          <t>Tổng hợp tiến độ nghiệm thu</t>
        </is>
      </c>
    </row>
    <row r="3">
      <c r="B3" s="2" t="inlineStr">
        <is>
          <t>Bảng này tự tính theo lựa chọn ở 3 bảng trước — anh/chị không cần điền gì.</t>
        </is>
      </c>
    </row>
    <row r="5" ht="32" customHeight="1">
      <c r="B5" s="9" t="inlineStr">
        <is>
          <t>Bảng</t>
        </is>
      </c>
      <c r="C5" s="9" t="inlineStr">
        <is>
          <t>Tổng số dòng</t>
        </is>
      </c>
      <c r="D5" s="9" t="inlineStr">
        <is>
          <t>☑ Đạt</t>
        </is>
      </c>
      <c r="E5" s="9" t="inlineStr">
        <is>
          <t>✎ Cần chỉnh sửa</t>
        </is>
      </c>
      <c r="F5" s="9" t="inlineStr">
        <is>
          <t>☐ Chưa duyệt</t>
        </is>
      </c>
      <c r="G5" s="9" t="inlineStr">
        <is>
          <t>— Không áp dụng</t>
        </is>
      </c>
      <c r="H5" s="9" t="inlineStr">
        <is>
          <t>Tỷ lệ đã duyệt</t>
        </is>
      </c>
      <c r="I5" s="9" t="inlineStr">
        <is>
          <t>Tổng số lần chỉnh sửa</t>
        </is>
      </c>
    </row>
    <row r="6">
      <c r="B6" s="6" t="inlineStr">
        <is>
          <t>Trang &amp; màn hình</t>
        </is>
      </c>
      <c r="C6" s="18">
        <f>COUNTA('Trang &amp; màn hình'!$C$4:$C$35)</f>
        <v/>
      </c>
      <c r="D6" s="18">
        <f>COUNTIF('Trang &amp; màn hình'!$H$4:$H$35,"☑ Đạt")</f>
        <v/>
      </c>
      <c r="E6" s="18">
        <f>COUNTIF('Trang &amp; màn hình'!$H$4:$H$35,"✎ Cần chỉnh sửa")</f>
        <v/>
      </c>
      <c r="F6" s="18">
        <f>COUNTIF('Trang &amp; màn hình'!$H$4:$H$35,"☐ Chưa duyệt")</f>
        <v/>
      </c>
      <c r="G6" s="18">
        <f>COUNTIF('Trang &amp; màn hình'!$H$4:$H$35,"— Không áp dụng")</f>
        <v/>
      </c>
      <c r="H6" s="19">
        <f>IFERROR(D6/(C6-G6),0)</f>
        <v/>
      </c>
      <c r="I6" s="18">
        <f>SUM('Trang &amp; màn hình'!$I$4:$I$35)</f>
        <v/>
      </c>
    </row>
    <row r="7">
      <c r="B7" s="6" t="inlineStr">
        <is>
          <t>Thành phần UI</t>
        </is>
      </c>
      <c r="C7" s="18">
        <f>COUNTA('Thành phần UI'!$C$4:$C$71)</f>
        <v/>
      </c>
      <c r="D7" s="18">
        <f>COUNTIF('Thành phần UI'!$G$4:$G$71,"☑ Đạt")</f>
        <v/>
      </c>
      <c r="E7" s="18">
        <f>COUNTIF('Thành phần UI'!$G$4:$G$71,"✎ Cần chỉnh sửa")</f>
        <v/>
      </c>
      <c r="F7" s="18">
        <f>COUNTIF('Thành phần UI'!$G$4:$G$71,"☐ Chưa duyệt")</f>
        <v/>
      </c>
      <c r="G7" s="18">
        <f>COUNTIF('Thành phần UI'!$G$4:$G$71,"— Không áp dụng")</f>
        <v/>
      </c>
      <c r="H7" s="19">
        <f>IFERROR(D7/(C7-G7),0)</f>
        <v/>
      </c>
      <c r="I7" s="18">
        <f>SUM('Thành phần UI'!$H$4:$H$71)</f>
        <v/>
      </c>
    </row>
    <row r="8">
      <c r="B8" s="6" t="inlineStr">
        <is>
          <t>Phiên bản</t>
        </is>
      </c>
      <c r="C8" s="18">
        <f>COUNTA('Phiên bản'!$C$4:$C$11)</f>
        <v/>
      </c>
      <c r="D8" s="18">
        <f>COUNTIF('Phiên bản'!$G$4:$G$11,"☑ Đạt")</f>
        <v/>
      </c>
      <c r="E8" s="18">
        <f>COUNTIF('Phiên bản'!$G$4:$G$11,"✎ Cần chỉnh sửa")</f>
        <v/>
      </c>
      <c r="F8" s="18">
        <f>COUNTIF('Phiên bản'!$G$4:$G$11,"☐ Chưa duyệt")</f>
        <v/>
      </c>
      <c r="G8" s="18">
        <f>COUNTIF('Phiên bản'!$G$4:$G$11,"— Không áp dụng")</f>
        <v/>
      </c>
      <c r="H8" s="19">
        <f>IFERROR(D8/(C8-G8),0)</f>
        <v/>
      </c>
      <c r="I8" s="18">
        <f>SUM('Phiên bản'!$H$4:$H$11)</f>
        <v/>
      </c>
    </row>
    <row r="9">
      <c r="B9" s="10" t="inlineStr">
        <is>
          <t>TỔNG</t>
        </is>
      </c>
      <c r="C9" s="20">
        <f>SUM(C6:C8)</f>
        <v/>
      </c>
      <c r="D9" s="20">
        <f>SUM(D6:D8)</f>
        <v/>
      </c>
      <c r="E9" s="20">
        <f>SUM(E6:E8)</f>
        <v/>
      </c>
      <c r="F9" s="20">
        <f>SUM(F6:F8)</f>
        <v/>
      </c>
      <c r="G9" s="20">
        <f>SUM(G6:G8)</f>
        <v/>
      </c>
      <c r="H9" s="21">
        <f>IFERROR(D9/(C9-G9),0)</f>
        <v/>
      </c>
      <c r="I9" s="20">
        <f>SUM(I6:I8)</f>
        <v/>
      </c>
    </row>
    <row r="11">
      <c r="B11" s="8" t="inlineStr">
        <is>
          <t>Cách đọc:</t>
        </is>
      </c>
    </row>
    <row r="12">
      <c r="B12" s="2" t="inlineStr">
        <is>
          <t>• “Tỷ lệ đã duyệt” = số dòng ☑ Đạt chia cho tổng số dòng, đã trừ các dòng “— Không áp dụng”.</t>
        </is>
      </c>
    </row>
    <row r="13">
      <c r="B13" s="2" t="inlineStr">
        <is>
          <t>• “Tổng số lần chỉnh sửa” cộng từ cột cùng tên ở 3 bảng; bộ đếm bắt đầu từ 0 kể từ 04/09/2026.</t>
        </is>
      </c>
    </row>
    <row r="14">
      <c r="B14" s="2" t="inlineStr">
        <is>
          <t>• Khi chưa chọn trạng thái nào, tỷ lệ đã duyệt hiển thị 0% — chọn xong bảng tự cập nhật.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2026-09-04T03:04:34Z</dcterms:created>
  <dcterms:modified xsi:type="dcterms:W3CDTF">2026-09-04T03:04:34Z</dcterms:modified>
</cp:coreProperties>
</file>